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8413171dfa17eb9/Desktop/FINANCIAL MODELLING/"/>
    </mc:Choice>
  </mc:AlternateContent>
  <xr:revisionPtr revIDLastSave="738" documentId="11_F25DC773A252ABDACC1048D5595C75EA5BDE58EC" xr6:coauthVersionLast="47" xr6:coauthVersionMax="47" xr10:uidLastSave="{853AC7F1-7AFC-4D22-9706-EB63FEBB37D3}"/>
  <bookViews>
    <workbookView xWindow="-110" yWindow="-110" windowWidth="19420" windowHeight="10300" firstSheet="1" activeTab="2" xr2:uid="{00000000-000D-0000-FFFF-FFFF00000000}"/>
  </bookViews>
  <sheets>
    <sheet name="Financials" sheetId="1" r:id="rId1"/>
    <sheet name="Historical_FS" sheetId="2" r:id="rId2"/>
    <sheet name="Ration Analysis" sheetId="7" r:id="rId3"/>
    <sheet name="Data&gt;" sheetId="3" r:id="rId4"/>
    <sheet name="Data Sheet" sheetId="6" r:id="rId5"/>
    <sheet name="cashflow data set " sheetId="5" r:id="rId6"/>
  </sheets>
  <definedNames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7" l="1"/>
  <c r="O7" i="7"/>
  <c r="O6" i="7"/>
  <c r="O5" i="7"/>
  <c r="O9" i="7"/>
  <c r="O15" i="7"/>
  <c r="O14" i="7"/>
  <c r="O13" i="7"/>
  <c r="O12" i="7"/>
  <c r="O11" i="7"/>
  <c r="N15" i="7"/>
  <c r="O19" i="7"/>
  <c r="O18" i="7"/>
  <c r="O17" i="7"/>
  <c r="O25" i="7"/>
  <c r="O24" i="7"/>
  <c r="O23" i="7"/>
  <c r="O22" i="7"/>
  <c r="O21" i="7"/>
  <c r="O31" i="7"/>
  <c r="O30" i="7"/>
  <c r="O29" i="7"/>
  <c r="O28" i="7"/>
  <c r="O27" i="7"/>
  <c r="N40" i="7"/>
  <c r="N39" i="7"/>
  <c r="N38" i="7"/>
  <c r="N35" i="7"/>
  <c r="N34" i="7"/>
  <c r="N33" i="7"/>
  <c r="N31" i="7"/>
  <c r="N30" i="7"/>
  <c r="N29" i="7"/>
  <c r="N28" i="7"/>
  <c r="N27" i="7"/>
  <c r="N25" i="7"/>
  <c r="N24" i="7"/>
  <c r="N23" i="7"/>
  <c r="N22" i="7"/>
  <c r="N21" i="7"/>
  <c r="N19" i="7"/>
  <c r="N18" i="7"/>
  <c r="N17" i="7"/>
  <c r="N14" i="7"/>
  <c r="N13" i="7"/>
  <c r="N12" i="7"/>
  <c r="N11" i="7"/>
  <c r="O35" i="7"/>
  <c r="O34" i="7"/>
  <c r="O33" i="7"/>
  <c r="O39" i="7"/>
  <c r="O38" i="7"/>
  <c r="O40" i="7"/>
  <c r="N9" i="7"/>
  <c r="N8" i="7"/>
  <c r="N7" i="7"/>
  <c r="N6" i="7"/>
  <c r="N5" i="7"/>
  <c r="L40" i="7"/>
  <c r="K40" i="7"/>
  <c r="J40" i="7"/>
  <c r="I40" i="7"/>
  <c r="H40" i="7"/>
  <c r="G40" i="7"/>
  <c r="F40" i="7"/>
  <c r="E40" i="7"/>
  <c r="D40" i="7"/>
  <c r="L39" i="7"/>
  <c r="K39" i="7"/>
  <c r="J39" i="7"/>
  <c r="I39" i="7"/>
  <c r="H39" i="7"/>
  <c r="G39" i="7"/>
  <c r="F39" i="7"/>
  <c r="E39" i="7"/>
  <c r="D39" i="7"/>
  <c r="C40" i="7"/>
  <c r="C39" i="7"/>
  <c r="L38" i="7"/>
  <c r="K38" i="7"/>
  <c r="J38" i="7"/>
  <c r="I38" i="7"/>
  <c r="H38" i="7"/>
  <c r="G38" i="7"/>
  <c r="F38" i="7"/>
  <c r="E38" i="7"/>
  <c r="D38" i="7"/>
  <c r="C38" i="7"/>
  <c r="L35" i="7"/>
  <c r="K35" i="7"/>
  <c r="J35" i="7"/>
  <c r="I35" i="7"/>
  <c r="H35" i="7"/>
  <c r="G35" i="7"/>
  <c r="F35" i="7"/>
  <c r="E35" i="7"/>
  <c r="D35" i="7"/>
  <c r="L34" i="7"/>
  <c r="K34" i="7"/>
  <c r="J34" i="7"/>
  <c r="I34" i="7"/>
  <c r="H34" i="7"/>
  <c r="G34" i="7"/>
  <c r="F34" i="7"/>
  <c r="E34" i="7"/>
  <c r="D34" i="7"/>
  <c r="L33" i="7"/>
  <c r="K33" i="7"/>
  <c r="J33" i="7"/>
  <c r="I33" i="7"/>
  <c r="H33" i="7"/>
  <c r="G33" i="7"/>
  <c r="F33" i="7"/>
  <c r="E33" i="7"/>
  <c r="D33" i="7"/>
  <c r="C34" i="7"/>
  <c r="C33" i="7"/>
  <c r="C35" i="7"/>
  <c r="L31" i="7"/>
  <c r="K31" i="7"/>
  <c r="J31" i="7"/>
  <c r="I31" i="7"/>
  <c r="H31" i="7"/>
  <c r="G31" i="7"/>
  <c r="F31" i="7"/>
  <c r="E31" i="7"/>
  <c r="D31" i="7"/>
  <c r="C31" i="7"/>
  <c r="L30" i="7"/>
  <c r="K30" i="7"/>
  <c r="J30" i="7"/>
  <c r="I30" i="7"/>
  <c r="H30" i="7"/>
  <c r="G30" i="7"/>
  <c r="F30" i="7"/>
  <c r="E30" i="7"/>
  <c r="D30" i="7"/>
  <c r="C30" i="7"/>
  <c r="L29" i="7"/>
  <c r="K29" i="7"/>
  <c r="J29" i="7"/>
  <c r="I29" i="7"/>
  <c r="H29" i="7"/>
  <c r="G29" i="7"/>
  <c r="F29" i="7"/>
  <c r="E29" i="7"/>
  <c r="D29" i="7"/>
  <c r="C29" i="7"/>
  <c r="L28" i="7"/>
  <c r="K28" i="7"/>
  <c r="J28" i="7"/>
  <c r="I28" i="7"/>
  <c r="H28" i="7"/>
  <c r="G28" i="7"/>
  <c r="F28" i="7"/>
  <c r="E28" i="7"/>
  <c r="D28" i="7"/>
  <c r="C28" i="7"/>
  <c r="L27" i="7"/>
  <c r="K27" i="7"/>
  <c r="J27" i="7"/>
  <c r="I27" i="7"/>
  <c r="H27" i="7"/>
  <c r="G27" i="7"/>
  <c r="F27" i="7"/>
  <c r="E27" i="7"/>
  <c r="D27" i="7"/>
  <c r="C27" i="7"/>
  <c r="L25" i="7"/>
  <c r="K25" i="7"/>
  <c r="J25" i="7"/>
  <c r="I25" i="7"/>
  <c r="H25" i="7"/>
  <c r="G25" i="7"/>
  <c r="F25" i="7"/>
  <c r="E25" i="7"/>
  <c r="D25" i="7"/>
  <c r="C25" i="7"/>
  <c r="L24" i="7"/>
  <c r="J24" i="7"/>
  <c r="K24" i="7"/>
  <c r="I24" i="7"/>
  <c r="H24" i="7"/>
  <c r="G24" i="7"/>
  <c r="F24" i="7"/>
  <c r="E24" i="7"/>
  <c r="D24" i="7"/>
  <c r="C24" i="7"/>
  <c r="L23" i="7"/>
  <c r="K23" i="7"/>
  <c r="J23" i="7"/>
  <c r="I23" i="7"/>
  <c r="H23" i="7"/>
  <c r="G23" i="7"/>
  <c r="F23" i="7"/>
  <c r="E23" i="7"/>
  <c r="D23" i="7"/>
  <c r="C23" i="7"/>
  <c r="L22" i="7"/>
  <c r="K22" i="7"/>
  <c r="J22" i="7"/>
  <c r="I22" i="7"/>
  <c r="H22" i="7"/>
  <c r="G22" i="7"/>
  <c r="F22" i="7"/>
  <c r="E22" i="7"/>
  <c r="D22" i="7"/>
  <c r="C22" i="7"/>
  <c r="L21" i="7"/>
  <c r="K21" i="7"/>
  <c r="J21" i="7"/>
  <c r="I21" i="7"/>
  <c r="H21" i="7"/>
  <c r="G21" i="7"/>
  <c r="F21" i="7"/>
  <c r="E21" i="7"/>
  <c r="D21" i="7"/>
  <c r="C21" i="7"/>
  <c r="L19" i="7"/>
  <c r="K19" i="7"/>
  <c r="J19" i="7"/>
  <c r="I19" i="7"/>
  <c r="H19" i="7"/>
  <c r="G19" i="7"/>
  <c r="F19" i="7"/>
  <c r="E19" i="7"/>
  <c r="D19" i="7"/>
  <c r="L18" i="7"/>
  <c r="K18" i="7"/>
  <c r="J18" i="7"/>
  <c r="I18" i="7"/>
  <c r="H18" i="7"/>
  <c r="G18" i="7"/>
  <c r="F18" i="7"/>
  <c r="E18" i="7"/>
  <c r="D18" i="7"/>
  <c r="L17" i="7"/>
  <c r="K17" i="7"/>
  <c r="J17" i="7"/>
  <c r="I17" i="7"/>
  <c r="H17" i="7"/>
  <c r="G17" i="7"/>
  <c r="F17" i="7"/>
  <c r="E17" i="7"/>
  <c r="D17" i="7"/>
  <c r="C19" i="7"/>
  <c r="C18" i="7"/>
  <c r="C17" i="7"/>
  <c r="C11" i="7"/>
  <c r="L15" i="7"/>
  <c r="K15" i="7"/>
  <c r="J15" i="7"/>
  <c r="I15" i="7"/>
  <c r="H15" i="7"/>
  <c r="G15" i="7"/>
  <c r="F15" i="7"/>
  <c r="E15" i="7"/>
  <c r="D15" i="7"/>
  <c r="L14" i="7"/>
  <c r="K14" i="7"/>
  <c r="J14" i="7"/>
  <c r="I14" i="7"/>
  <c r="H14" i="7"/>
  <c r="G14" i="7"/>
  <c r="F14" i="7"/>
  <c r="E14" i="7"/>
  <c r="D14" i="7"/>
  <c r="L13" i="7"/>
  <c r="K13" i="7"/>
  <c r="J13" i="7"/>
  <c r="I13" i="7"/>
  <c r="H13" i="7"/>
  <c r="G13" i="7"/>
  <c r="F13" i="7"/>
  <c r="E13" i="7"/>
  <c r="D13" i="7"/>
  <c r="L12" i="7"/>
  <c r="K12" i="7"/>
  <c r="J12" i="7"/>
  <c r="I12" i="7"/>
  <c r="H12" i="7"/>
  <c r="G12" i="7"/>
  <c r="F12" i="7"/>
  <c r="E12" i="7"/>
  <c r="D12" i="7"/>
  <c r="L11" i="7"/>
  <c r="K11" i="7"/>
  <c r="J11" i="7"/>
  <c r="I11" i="7"/>
  <c r="H11" i="7"/>
  <c r="G11" i="7"/>
  <c r="F11" i="7"/>
  <c r="E11" i="7"/>
  <c r="D11" i="7"/>
  <c r="C12" i="7"/>
  <c r="C13" i="7"/>
  <c r="C14" i="7"/>
  <c r="C15" i="7"/>
  <c r="J9" i="7"/>
  <c r="D8" i="7"/>
  <c r="L9" i="7"/>
  <c r="K9" i="7"/>
  <c r="I9" i="7"/>
  <c r="H9" i="7"/>
  <c r="G9" i="7"/>
  <c r="F9" i="7"/>
  <c r="E9" i="7"/>
  <c r="L8" i="7"/>
  <c r="K8" i="7"/>
  <c r="J8" i="7"/>
  <c r="I8" i="7"/>
  <c r="H8" i="7"/>
  <c r="G8" i="7"/>
  <c r="F8" i="7"/>
  <c r="E8" i="7"/>
  <c r="D9" i="7"/>
  <c r="L7" i="7"/>
  <c r="K7" i="7"/>
  <c r="J7" i="7"/>
  <c r="I7" i="7"/>
  <c r="H7" i="7"/>
  <c r="G7" i="7"/>
  <c r="F7" i="7"/>
  <c r="E7" i="7"/>
  <c r="D7" i="7"/>
  <c r="L6" i="7"/>
  <c r="K6" i="7"/>
  <c r="J6" i="7"/>
  <c r="I6" i="7"/>
  <c r="H6" i="7"/>
  <c r="G6" i="7"/>
  <c r="F6" i="7"/>
  <c r="E6" i="7"/>
  <c r="D6" i="7"/>
  <c r="L5" i="7"/>
  <c r="K5" i="7"/>
  <c r="J5" i="7"/>
  <c r="I5" i="7"/>
  <c r="H5" i="7"/>
  <c r="G5" i="7"/>
  <c r="F5" i="7"/>
  <c r="E5" i="7"/>
  <c r="D5" i="7"/>
  <c r="L3" i="7"/>
  <c r="K3" i="7"/>
  <c r="J3" i="7"/>
  <c r="I3" i="7"/>
  <c r="H3" i="7"/>
  <c r="G3" i="7"/>
  <c r="F3" i="7"/>
  <c r="E3" i="7"/>
  <c r="D3" i="7"/>
  <c r="C3" i="7"/>
  <c r="B2" i="7"/>
  <c r="L106" i="2"/>
  <c r="K106" i="2"/>
  <c r="J106" i="2"/>
  <c r="I106" i="2"/>
  <c r="H106" i="2"/>
  <c r="G106" i="2"/>
  <c r="F106" i="2"/>
  <c r="E106" i="2"/>
  <c r="D106" i="2"/>
  <c r="C106" i="2"/>
  <c r="C93" i="2"/>
  <c r="D84" i="2" l="1"/>
  <c r="L103" i="2"/>
  <c r="K103" i="2"/>
  <c r="J103" i="2"/>
  <c r="I103" i="2"/>
  <c r="H103" i="2"/>
  <c r="G103" i="2"/>
  <c r="F103" i="2"/>
  <c r="E103" i="2"/>
  <c r="D103" i="2"/>
  <c r="C103" i="2"/>
  <c r="L102" i="2"/>
  <c r="K102" i="2"/>
  <c r="J102" i="2"/>
  <c r="I102" i="2"/>
  <c r="H102" i="2"/>
  <c r="G102" i="2"/>
  <c r="F102" i="2"/>
  <c r="E102" i="2"/>
  <c r="D102" i="2"/>
  <c r="C102" i="2"/>
  <c r="L101" i="2"/>
  <c r="K101" i="2"/>
  <c r="J101" i="2"/>
  <c r="I101" i="2"/>
  <c r="H101" i="2"/>
  <c r="G101" i="2"/>
  <c r="F101" i="2"/>
  <c r="E101" i="2"/>
  <c r="D101" i="2"/>
  <c r="C101" i="2"/>
  <c r="L100" i="2"/>
  <c r="K100" i="2"/>
  <c r="J100" i="2"/>
  <c r="I100" i="2"/>
  <c r="H100" i="2"/>
  <c r="G100" i="2"/>
  <c r="F100" i="2"/>
  <c r="E100" i="2"/>
  <c r="D100" i="2"/>
  <c r="C100" i="2"/>
  <c r="L99" i="2"/>
  <c r="K99" i="2"/>
  <c r="J99" i="2"/>
  <c r="I99" i="2"/>
  <c r="H99" i="2"/>
  <c r="G99" i="2"/>
  <c r="F99" i="2"/>
  <c r="E99" i="2"/>
  <c r="D99" i="2"/>
  <c r="C99" i="2"/>
  <c r="L98" i="2"/>
  <c r="K98" i="2"/>
  <c r="J98" i="2"/>
  <c r="I98" i="2"/>
  <c r="H98" i="2"/>
  <c r="G98" i="2"/>
  <c r="F98" i="2"/>
  <c r="E98" i="2"/>
  <c r="D98" i="2"/>
  <c r="C98" i="2"/>
  <c r="L97" i="2"/>
  <c r="K97" i="2"/>
  <c r="K104" i="2" s="1"/>
  <c r="J97" i="2"/>
  <c r="J104" i="2" s="1"/>
  <c r="I97" i="2"/>
  <c r="H97" i="2"/>
  <c r="G97" i="2"/>
  <c r="G104" i="2" s="1"/>
  <c r="F97" i="2"/>
  <c r="F104" i="2" s="1"/>
  <c r="E97" i="2"/>
  <c r="D97" i="2"/>
  <c r="C97" i="2"/>
  <c r="C104" i="2" s="1"/>
  <c r="L96" i="2"/>
  <c r="L104" i="2" s="1"/>
  <c r="K96" i="2"/>
  <c r="J96" i="2"/>
  <c r="I96" i="2"/>
  <c r="I104" i="2" s="1"/>
  <c r="H96" i="2"/>
  <c r="H104" i="2" s="1"/>
  <c r="G96" i="2"/>
  <c r="F96" i="2"/>
  <c r="E96" i="2"/>
  <c r="E104" i="2" s="1"/>
  <c r="D96" i="2"/>
  <c r="D104" i="2" s="1"/>
  <c r="C96" i="2"/>
  <c r="L92" i="2"/>
  <c r="K92" i="2"/>
  <c r="J92" i="2"/>
  <c r="I92" i="2"/>
  <c r="H92" i="2"/>
  <c r="G92" i="2"/>
  <c r="F92" i="2"/>
  <c r="E92" i="2"/>
  <c r="D92" i="2"/>
  <c r="C92" i="2"/>
  <c r="L91" i="2"/>
  <c r="K91" i="2"/>
  <c r="J91" i="2"/>
  <c r="I91" i="2"/>
  <c r="H91" i="2"/>
  <c r="G91" i="2"/>
  <c r="F91" i="2"/>
  <c r="E91" i="2"/>
  <c r="D91" i="2"/>
  <c r="C91" i="2"/>
  <c r="L90" i="2"/>
  <c r="K90" i="2"/>
  <c r="J90" i="2"/>
  <c r="I90" i="2"/>
  <c r="H90" i="2"/>
  <c r="G90" i="2"/>
  <c r="F90" i="2"/>
  <c r="E90" i="2"/>
  <c r="D90" i="2"/>
  <c r="C90" i="2"/>
  <c r="L89" i="2"/>
  <c r="K89" i="2"/>
  <c r="J89" i="2"/>
  <c r="I89" i="2"/>
  <c r="H89" i="2"/>
  <c r="G89" i="2"/>
  <c r="F89" i="2"/>
  <c r="E89" i="2"/>
  <c r="D89" i="2"/>
  <c r="C89" i="2"/>
  <c r="L88" i="2"/>
  <c r="K88" i="2"/>
  <c r="J88" i="2"/>
  <c r="I88" i="2"/>
  <c r="H88" i="2"/>
  <c r="G88" i="2"/>
  <c r="F88" i="2"/>
  <c r="E88" i="2"/>
  <c r="D88" i="2"/>
  <c r="C88" i="2"/>
  <c r="L87" i="2"/>
  <c r="K87" i="2"/>
  <c r="J87" i="2"/>
  <c r="I87" i="2"/>
  <c r="H87" i="2"/>
  <c r="G87" i="2"/>
  <c r="F87" i="2"/>
  <c r="E87" i="2"/>
  <c r="D87" i="2"/>
  <c r="C87" i="2"/>
  <c r="L86" i="2"/>
  <c r="K86" i="2"/>
  <c r="J86" i="2"/>
  <c r="I86" i="2"/>
  <c r="H86" i="2"/>
  <c r="G86" i="2"/>
  <c r="F86" i="2"/>
  <c r="E86" i="2"/>
  <c r="D86" i="2"/>
  <c r="C86" i="2"/>
  <c r="L85" i="2"/>
  <c r="K85" i="2"/>
  <c r="J85" i="2"/>
  <c r="I85" i="2"/>
  <c r="H85" i="2"/>
  <c r="G85" i="2"/>
  <c r="F85" i="2"/>
  <c r="E85" i="2"/>
  <c r="D85" i="2"/>
  <c r="C85" i="2"/>
  <c r="L84" i="2"/>
  <c r="K84" i="2"/>
  <c r="J84" i="2"/>
  <c r="I84" i="2"/>
  <c r="H84" i="2"/>
  <c r="G84" i="2"/>
  <c r="F84" i="2"/>
  <c r="E84" i="2"/>
  <c r="C84" i="2"/>
  <c r="L83" i="2"/>
  <c r="K83" i="2"/>
  <c r="K93" i="2" s="1"/>
  <c r="J83" i="2"/>
  <c r="I83" i="2"/>
  <c r="H83" i="2"/>
  <c r="G83" i="2"/>
  <c r="G93" i="2" s="1"/>
  <c r="F83" i="2"/>
  <c r="E83" i="2"/>
  <c r="D83" i="2"/>
  <c r="C83" i="2"/>
  <c r="L79" i="2"/>
  <c r="K79" i="2"/>
  <c r="J79" i="2"/>
  <c r="I79" i="2"/>
  <c r="H79" i="2"/>
  <c r="G79" i="2"/>
  <c r="F79" i="2"/>
  <c r="E79" i="2"/>
  <c r="D79" i="2"/>
  <c r="C79" i="2"/>
  <c r="L78" i="2"/>
  <c r="K78" i="2"/>
  <c r="J78" i="2"/>
  <c r="I78" i="2"/>
  <c r="H78" i="2"/>
  <c r="G78" i="2"/>
  <c r="F78" i="2"/>
  <c r="E78" i="2"/>
  <c r="D78" i="2"/>
  <c r="C78" i="2"/>
  <c r="L77" i="2"/>
  <c r="K77" i="2"/>
  <c r="J77" i="2"/>
  <c r="I77" i="2"/>
  <c r="H77" i="2"/>
  <c r="G77" i="2"/>
  <c r="F77" i="2"/>
  <c r="E77" i="2"/>
  <c r="D77" i="2"/>
  <c r="C77" i="2"/>
  <c r="L76" i="2"/>
  <c r="K76" i="2"/>
  <c r="J76" i="2"/>
  <c r="I76" i="2"/>
  <c r="H76" i="2"/>
  <c r="G76" i="2"/>
  <c r="F76" i="2"/>
  <c r="E76" i="2"/>
  <c r="D76" i="2"/>
  <c r="C76" i="2"/>
  <c r="L75" i="2"/>
  <c r="K75" i="2"/>
  <c r="J75" i="2"/>
  <c r="I75" i="2"/>
  <c r="H75" i="2"/>
  <c r="G75" i="2"/>
  <c r="F75" i="2"/>
  <c r="E75" i="2"/>
  <c r="D75" i="2"/>
  <c r="C75" i="2"/>
  <c r="L74" i="2"/>
  <c r="K74" i="2"/>
  <c r="J74" i="2"/>
  <c r="I74" i="2"/>
  <c r="H74" i="2"/>
  <c r="G74" i="2"/>
  <c r="F74" i="2"/>
  <c r="E74" i="2"/>
  <c r="D74" i="2"/>
  <c r="C74" i="2"/>
  <c r="L73" i="2"/>
  <c r="K73" i="2"/>
  <c r="J73" i="2"/>
  <c r="I73" i="2"/>
  <c r="H73" i="2"/>
  <c r="G73" i="2"/>
  <c r="F73" i="2"/>
  <c r="E73" i="2"/>
  <c r="D73" i="2"/>
  <c r="C73" i="2"/>
  <c r="L72" i="2"/>
  <c r="K72" i="2"/>
  <c r="J72" i="2"/>
  <c r="I72" i="2"/>
  <c r="H72" i="2"/>
  <c r="G72" i="2"/>
  <c r="F72" i="2"/>
  <c r="E72" i="2"/>
  <c r="D72" i="2"/>
  <c r="C72" i="2"/>
  <c r="L71" i="2"/>
  <c r="K71" i="2"/>
  <c r="J71" i="2"/>
  <c r="I71" i="2"/>
  <c r="H71" i="2"/>
  <c r="G71" i="2"/>
  <c r="F71" i="2"/>
  <c r="E71" i="2"/>
  <c r="D71" i="2"/>
  <c r="C71" i="2"/>
  <c r="L61" i="2"/>
  <c r="K61" i="2"/>
  <c r="J61" i="2"/>
  <c r="I61" i="2"/>
  <c r="H61" i="2"/>
  <c r="G61" i="2"/>
  <c r="F61" i="2"/>
  <c r="E61" i="2"/>
  <c r="D61" i="2"/>
  <c r="C61" i="2"/>
  <c r="L60" i="2"/>
  <c r="K60" i="2"/>
  <c r="J60" i="2"/>
  <c r="I60" i="2"/>
  <c r="H60" i="2"/>
  <c r="G60" i="2"/>
  <c r="F60" i="2"/>
  <c r="E60" i="2"/>
  <c r="D60" i="2"/>
  <c r="C60" i="2"/>
  <c r="L59" i="2"/>
  <c r="K59" i="2"/>
  <c r="J59" i="2"/>
  <c r="I59" i="2"/>
  <c r="H59" i="2"/>
  <c r="G59" i="2"/>
  <c r="F59" i="2"/>
  <c r="E59" i="2"/>
  <c r="D59" i="2"/>
  <c r="C59" i="2"/>
  <c r="L56" i="2"/>
  <c r="K56" i="2"/>
  <c r="J56" i="2"/>
  <c r="I56" i="2"/>
  <c r="H56" i="2"/>
  <c r="G56" i="2"/>
  <c r="F56" i="2"/>
  <c r="E56" i="2"/>
  <c r="D56" i="2"/>
  <c r="C56" i="2"/>
  <c r="L55" i="2"/>
  <c r="K55" i="2"/>
  <c r="J55" i="2"/>
  <c r="I55" i="2"/>
  <c r="H55" i="2"/>
  <c r="G55" i="2"/>
  <c r="F55" i="2"/>
  <c r="E55" i="2"/>
  <c r="D55" i="2"/>
  <c r="C55" i="2"/>
  <c r="L54" i="2"/>
  <c r="K54" i="2"/>
  <c r="J54" i="2"/>
  <c r="I54" i="2"/>
  <c r="H54" i="2"/>
  <c r="G54" i="2"/>
  <c r="F54" i="2"/>
  <c r="E54" i="2"/>
  <c r="D54" i="2"/>
  <c r="C54" i="2"/>
  <c r="L53" i="2"/>
  <c r="K53" i="2"/>
  <c r="J53" i="2"/>
  <c r="I53" i="2"/>
  <c r="H53" i="2"/>
  <c r="G53" i="2"/>
  <c r="F53" i="2"/>
  <c r="E53" i="2"/>
  <c r="D53" i="2"/>
  <c r="C53" i="2"/>
  <c r="L51" i="2"/>
  <c r="K51" i="2"/>
  <c r="J51" i="2"/>
  <c r="I51" i="2"/>
  <c r="H51" i="2"/>
  <c r="G51" i="2"/>
  <c r="F51" i="2"/>
  <c r="E51" i="2"/>
  <c r="D51" i="2"/>
  <c r="C51" i="2"/>
  <c r="L50" i="2"/>
  <c r="K50" i="2"/>
  <c r="J50" i="2"/>
  <c r="I50" i="2"/>
  <c r="H50" i="2"/>
  <c r="G50" i="2"/>
  <c r="F50" i="2"/>
  <c r="E50" i="2"/>
  <c r="D50" i="2"/>
  <c r="C50" i="2"/>
  <c r="L49" i="2"/>
  <c r="K49" i="2"/>
  <c r="J49" i="2"/>
  <c r="I49" i="2"/>
  <c r="H49" i="2"/>
  <c r="G49" i="2"/>
  <c r="F49" i="2"/>
  <c r="E49" i="2"/>
  <c r="D49" i="2"/>
  <c r="C49" i="2"/>
  <c r="L48" i="2"/>
  <c r="K48" i="2"/>
  <c r="J48" i="2"/>
  <c r="I48" i="2"/>
  <c r="H48" i="2"/>
  <c r="G48" i="2"/>
  <c r="F48" i="2"/>
  <c r="E48" i="2"/>
  <c r="D48" i="2"/>
  <c r="C48" i="2"/>
  <c r="L47" i="2"/>
  <c r="K47" i="2"/>
  <c r="J47" i="2"/>
  <c r="I47" i="2"/>
  <c r="H47" i="2"/>
  <c r="G47" i="2"/>
  <c r="F47" i="2"/>
  <c r="E47" i="2"/>
  <c r="D47" i="2"/>
  <c r="C47" i="2"/>
  <c r="L36" i="2"/>
  <c r="M36" i="2" s="1"/>
  <c r="M41" i="2" s="1"/>
  <c r="K36" i="2"/>
  <c r="K41" i="2" s="1"/>
  <c r="J36" i="2"/>
  <c r="J41" i="2" s="1"/>
  <c r="I36" i="2"/>
  <c r="I41" i="2" s="1"/>
  <c r="H36" i="2"/>
  <c r="H41" i="2" s="1"/>
  <c r="G36" i="2"/>
  <c r="G41" i="2" s="1"/>
  <c r="F36" i="2"/>
  <c r="F41" i="2" s="1"/>
  <c r="E36" i="2"/>
  <c r="E41" i="2" s="1"/>
  <c r="D36" i="2"/>
  <c r="D41" i="2" s="1"/>
  <c r="C36" i="2"/>
  <c r="C41" i="2" s="1"/>
  <c r="C27" i="2"/>
  <c r="M30" i="2"/>
  <c r="L30" i="2"/>
  <c r="K30" i="2"/>
  <c r="J30" i="2"/>
  <c r="I30" i="2"/>
  <c r="H30" i="2"/>
  <c r="G30" i="2"/>
  <c r="F30" i="2"/>
  <c r="E30" i="2"/>
  <c r="D30" i="2"/>
  <c r="C30" i="2"/>
  <c r="C24" i="2"/>
  <c r="M24" i="2"/>
  <c r="L24" i="2"/>
  <c r="K24" i="2"/>
  <c r="J24" i="2"/>
  <c r="I24" i="2"/>
  <c r="H24" i="2"/>
  <c r="G24" i="2"/>
  <c r="F24" i="2"/>
  <c r="E24" i="2"/>
  <c r="D24" i="2"/>
  <c r="M21" i="2"/>
  <c r="M27" i="2" s="1"/>
  <c r="L21" i="2"/>
  <c r="K21" i="2"/>
  <c r="L27" i="2" s="1"/>
  <c r="J21" i="2"/>
  <c r="K27" i="2" s="1"/>
  <c r="I21" i="2"/>
  <c r="J27" i="2" s="1"/>
  <c r="H21" i="2"/>
  <c r="I27" i="2" s="1"/>
  <c r="G21" i="2"/>
  <c r="H27" i="2" s="1"/>
  <c r="F21" i="2"/>
  <c r="G27" i="2" s="1"/>
  <c r="E21" i="2"/>
  <c r="F27" i="2" s="1"/>
  <c r="D21" i="2"/>
  <c r="E27" i="2" s="1"/>
  <c r="C21" i="2"/>
  <c r="D27" i="2" s="1"/>
  <c r="L15" i="2"/>
  <c r="K15" i="2"/>
  <c r="J15" i="2"/>
  <c r="I15" i="2"/>
  <c r="H15" i="2"/>
  <c r="G15" i="2"/>
  <c r="F15" i="2"/>
  <c r="E15" i="2"/>
  <c r="D15" i="2"/>
  <c r="C15" i="2"/>
  <c r="M9" i="2"/>
  <c r="C9" i="2"/>
  <c r="L9" i="2"/>
  <c r="K9" i="2"/>
  <c r="J9" i="2"/>
  <c r="I9" i="2"/>
  <c r="H9" i="2"/>
  <c r="G9" i="2"/>
  <c r="F9" i="2"/>
  <c r="E9" i="2"/>
  <c r="D9" i="2"/>
  <c r="C80" i="2" l="1"/>
  <c r="G80" i="2"/>
  <c r="K80" i="2"/>
  <c r="E80" i="2"/>
  <c r="I80" i="2"/>
  <c r="H93" i="2"/>
  <c r="L93" i="2"/>
  <c r="D80" i="2"/>
  <c r="H80" i="2"/>
  <c r="L80" i="2"/>
  <c r="F80" i="2"/>
  <c r="J80" i="2"/>
  <c r="F93" i="2"/>
  <c r="J93" i="2"/>
  <c r="E93" i="2"/>
  <c r="I93" i="2"/>
  <c r="D93" i="2"/>
  <c r="F33" i="2"/>
  <c r="K31" i="2"/>
  <c r="D57" i="2"/>
  <c r="H57" i="2"/>
  <c r="L57" i="2"/>
  <c r="E62" i="2"/>
  <c r="I62" i="2"/>
  <c r="C62" i="2"/>
  <c r="G62" i="2"/>
  <c r="K62" i="2"/>
  <c r="C31" i="2"/>
  <c r="F31" i="2"/>
  <c r="F62" i="2"/>
  <c r="J62" i="2"/>
  <c r="D62" i="2"/>
  <c r="H62" i="2"/>
  <c r="L62" i="2"/>
  <c r="G31" i="2"/>
  <c r="C57" i="2"/>
  <c r="G57" i="2"/>
  <c r="K57" i="2"/>
  <c r="J33" i="2"/>
  <c r="K33" i="2"/>
  <c r="D31" i="2"/>
  <c r="H31" i="2"/>
  <c r="L31" i="2"/>
  <c r="M33" i="2"/>
  <c r="L33" i="2"/>
  <c r="E31" i="2"/>
  <c r="I31" i="2"/>
  <c r="M31" i="2"/>
  <c r="F38" i="2"/>
  <c r="D33" i="2"/>
  <c r="H33" i="2"/>
  <c r="E33" i="2"/>
  <c r="I33" i="2"/>
  <c r="J31" i="2"/>
  <c r="L41" i="2"/>
  <c r="E57" i="2"/>
  <c r="I57" i="2"/>
  <c r="C33" i="2"/>
  <c r="G33" i="2"/>
  <c r="F57" i="2"/>
  <c r="J57" i="2"/>
  <c r="E6" i="2"/>
  <c r="E12" i="2" s="1"/>
  <c r="K64" i="2" l="1"/>
  <c r="K66" i="2" s="1"/>
  <c r="C64" i="2"/>
  <c r="C66" i="2" s="1"/>
  <c r="J64" i="2"/>
  <c r="J66" i="2" s="1"/>
  <c r="H64" i="2"/>
  <c r="H66" i="2" s="1"/>
  <c r="L64" i="2"/>
  <c r="L66" i="2" s="1"/>
  <c r="G64" i="2"/>
  <c r="G66" i="2" s="1"/>
  <c r="D64" i="2"/>
  <c r="D66" i="2" s="1"/>
  <c r="E25" i="2"/>
  <c r="I64" i="2"/>
  <c r="I66" i="2" s="1"/>
  <c r="E64" i="2"/>
  <c r="E66" i="2" s="1"/>
  <c r="F64" i="2"/>
  <c r="F66" i="2" s="1"/>
  <c r="I38" i="2"/>
  <c r="E38" i="2"/>
  <c r="E34" i="2"/>
  <c r="D38" i="2"/>
  <c r="L38" i="2"/>
  <c r="L42" i="2" s="1"/>
  <c r="G38" i="2"/>
  <c r="J38" i="2"/>
  <c r="M38" i="2"/>
  <c r="E28" i="2"/>
  <c r="C38" i="2"/>
  <c r="H38" i="2"/>
  <c r="F42" i="2"/>
  <c r="F44" i="2" s="1"/>
  <c r="K38" i="2"/>
  <c r="E22" i="2"/>
  <c r="E16" i="2"/>
  <c r="E10" i="2"/>
  <c r="E18" i="2"/>
  <c r="E19" i="2" s="1"/>
  <c r="E13" i="2"/>
  <c r="M6" i="2"/>
  <c r="M34" i="2" s="1"/>
  <c r="L39" i="2" l="1"/>
  <c r="L44" i="2"/>
  <c r="C42" i="2"/>
  <c r="C44" i="2" s="1"/>
  <c r="J44" i="2"/>
  <c r="J39" i="2"/>
  <c r="J42" i="2"/>
  <c r="E39" i="2"/>
  <c r="E42" i="2"/>
  <c r="E44" i="2" s="1"/>
  <c r="K44" i="2"/>
  <c r="K39" i="2"/>
  <c r="K42" i="2"/>
  <c r="M25" i="2"/>
  <c r="M28" i="2"/>
  <c r="M44" i="2"/>
  <c r="M39" i="2"/>
  <c r="M42" i="2"/>
  <c r="H39" i="2"/>
  <c r="H42" i="2"/>
  <c r="H44" i="2" s="1"/>
  <c r="F39" i="2"/>
  <c r="G39" i="2"/>
  <c r="G42" i="2"/>
  <c r="G44" i="2" s="1"/>
  <c r="D39" i="2"/>
  <c r="D42" i="2"/>
  <c r="D44" i="2" s="1"/>
  <c r="I39" i="2"/>
  <c r="I42" i="2"/>
  <c r="I44" i="2" s="1"/>
  <c r="M16" i="2"/>
  <c r="M12" i="2"/>
  <c r="M10" i="2"/>
  <c r="M22" i="2"/>
  <c r="L6" i="2"/>
  <c r="K6" i="2"/>
  <c r="J6" i="2"/>
  <c r="I6" i="2"/>
  <c r="H6" i="2"/>
  <c r="G6" i="2"/>
  <c r="F6" i="2"/>
  <c r="D6" i="2"/>
  <c r="C6" i="2"/>
  <c r="L3" i="2"/>
  <c r="K3" i="2"/>
  <c r="J3" i="2"/>
  <c r="I3" i="2"/>
  <c r="H3" i="2"/>
  <c r="G3" i="2"/>
  <c r="F3" i="2"/>
  <c r="E3" i="2"/>
  <c r="D3" i="2"/>
  <c r="C3" i="2"/>
  <c r="B2" i="2"/>
  <c r="L25" i="2" l="1"/>
  <c r="L28" i="2"/>
  <c r="L34" i="2"/>
  <c r="C25" i="2"/>
  <c r="C28" i="2"/>
  <c r="C34" i="2"/>
  <c r="D25" i="2"/>
  <c r="D28" i="2"/>
  <c r="D34" i="2"/>
  <c r="I25" i="2"/>
  <c r="I28" i="2"/>
  <c r="I34" i="2"/>
  <c r="H25" i="2"/>
  <c r="H28" i="2"/>
  <c r="H34" i="2"/>
  <c r="F34" i="2"/>
  <c r="F25" i="2"/>
  <c r="F28" i="2"/>
  <c r="J28" i="2"/>
  <c r="J25" i="2"/>
  <c r="J34" i="2"/>
  <c r="G25" i="2"/>
  <c r="G28" i="2"/>
  <c r="G34" i="2"/>
  <c r="K25" i="2"/>
  <c r="K28" i="2"/>
  <c r="K34" i="2"/>
  <c r="D22" i="2"/>
  <c r="D12" i="2"/>
  <c r="D10" i="2"/>
  <c r="E7" i="2"/>
  <c r="D16" i="2"/>
  <c r="I12" i="2"/>
  <c r="I22" i="2"/>
  <c r="J7" i="2"/>
  <c r="I16" i="2"/>
  <c r="I10" i="2"/>
  <c r="F22" i="2"/>
  <c r="F16" i="2"/>
  <c r="F12" i="2"/>
  <c r="G7" i="2"/>
  <c r="F7" i="2"/>
  <c r="F10" i="2"/>
  <c r="J22" i="2"/>
  <c r="J16" i="2"/>
  <c r="J12" i="2"/>
  <c r="J10" i="2"/>
  <c r="K7" i="2"/>
  <c r="G22" i="2"/>
  <c r="G16" i="2"/>
  <c r="G12" i="2"/>
  <c r="G10" i="2"/>
  <c r="H7" i="2"/>
  <c r="K22" i="2"/>
  <c r="K16" i="2"/>
  <c r="K12" i="2"/>
  <c r="K10" i="2"/>
  <c r="L7" i="2"/>
  <c r="M18" i="2"/>
  <c r="M19" i="2" s="1"/>
  <c r="M13" i="2"/>
  <c r="C22" i="2"/>
  <c r="C16" i="2"/>
  <c r="C12" i="2"/>
  <c r="C10" i="2"/>
  <c r="D7" i="2"/>
  <c r="H22" i="2"/>
  <c r="H12" i="2"/>
  <c r="H16" i="2"/>
  <c r="H10" i="2"/>
  <c r="I7" i="2"/>
  <c r="L22" i="2"/>
  <c r="L12" i="2"/>
  <c r="L16" i="2"/>
  <c r="L10" i="2"/>
  <c r="M7" i="2"/>
  <c r="E1" i="6"/>
  <c r="B6" i="6"/>
  <c r="H18" i="2" l="1"/>
  <c r="H19" i="2" s="1"/>
  <c r="H13" i="2"/>
  <c r="C18" i="2"/>
  <c r="C19" i="2" s="1"/>
  <c r="C13" i="2"/>
  <c r="G18" i="2"/>
  <c r="G19" i="2" s="1"/>
  <c r="G13" i="2"/>
  <c r="J18" i="2"/>
  <c r="J19" i="2" s="1"/>
  <c r="J13" i="2"/>
  <c r="I18" i="2"/>
  <c r="I19" i="2" s="1"/>
  <c r="I13" i="2"/>
  <c r="D18" i="2"/>
  <c r="D19" i="2" s="1"/>
  <c r="D13" i="2"/>
  <c r="L18" i="2"/>
  <c r="L19" i="2" s="1"/>
  <c r="L13" i="2"/>
  <c r="K18" i="2"/>
  <c r="K19" i="2" s="1"/>
  <c r="K13" i="2"/>
  <c r="F18" i="2"/>
  <c r="F19" i="2" s="1"/>
  <c r="F13" i="2"/>
</calcChain>
</file>

<file path=xl/sharedStrings.xml><?xml version="1.0" encoding="utf-8"?>
<sst xmlns="http://schemas.openxmlformats.org/spreadsheetml/2006/main" count="221" uniqueCount="161">
  <si>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</si>
  <si>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</si>
  <si>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</si>
  <si>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</si>
  <si>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</si>
  <si>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</si>
  <si>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</si>
  <si>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</si>
  <si>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</si>
  <si>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</si>
  <si>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</si>
  <si>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</si>
  <si>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</si>
  <si>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</si>
  <si>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</si>
  <si>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</si>
  <si>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</si>
  <si>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</si>
  <si>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</si>
  <si>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</si>
  <si>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</si>
  <si>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</si>
  <si>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</si>
  <si>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</si>
  <si>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</si>
  <si>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</si>
  <si>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</si>
  <si>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</si>
  <si>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</si>
  <si>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</si>
  <si>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</si>
  <si>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</si>
  <si>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</si>
  <si>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</si>
  <si>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</si>
  <si>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</si>
  <si>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</si>
  <si>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</si>
  <si>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</si>
  <si>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</si>
  <si>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</si>
  <si>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</si>
  <si>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</si>
  <si>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</si>
  <si>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</si>
  <si>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</si>
  <si>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</si>
  <si>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</si>
  <si>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</si>
  <si>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</si>
  <si>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</si>
  <si>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</si>
  <si>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GODREJ CONSUMER PRODUCTS LTD</t>
  </si>
  <si>
    <t>COMPANY NAME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</si>
  <si>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</si>
  <si>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</si>
  <si>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</si>
  <si>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</si>
  <si>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</si>
  <si>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</si>
  <si>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</si>
  <si>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</si>
  <si>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Exceptional CF items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</si>
  <si>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</si>
  <si>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</si>
  <si>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</si>
  <si>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</si>
  <si>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</si>
  <si>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</si>
  <si>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</si>
  <si>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</si>
  <si>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</si>
  <si>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</si>
  <si>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</si>
  <si>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</si>
  <si>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</si>
  <si>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</si>
  <si>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</si>
  <si>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</si>
  <si>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</si>
  <si>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</si>
  <si>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</si>
  <si>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</si>
  <si>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#</t>
  </si>
  <si>
    <t>Year</t>
  </si>
  <si>
    <t>Income Statement</t>
  </si>
  <si>
    <t>Sale</t>
  </si>
  <si>
    <t>Sale Growth</t>
  </si>
  <si>
    <t>COGS % Sales</t>
  </si>
  <si>
    <t>COGS</t>
  </si>
  <si>
    <t>Gross Profit</t>
  </si>
  <si>
    <t>Gross Margins</t>
  </si>
  <si>
    <t>Selling &amp; General Expenses</t>
  </si>
  <si>
    <t>S&amp;G Expenses % sales</t>
  </si>
  <si>
    <t>EBITDA</t>
  </si>
  <si>
    <t>EBITDA Margins</t>
  </si>
  <si>
    <t>Interest % Sales</t>
  </si>
  <si>
    <t>Net Profit</t>
  </si>
  <si>
    <t>Net Margins</t>
  </si>
  <si>
    <t>No of Equity Shares</t>
  </si>
  <si>
    <t xml:space="preserve">Earnings Per Share </t>
  </si>
  <si>
    <t xml:space="preserve">EPS Growtn % </t>
  </si>
  <si>
    <t>Dividend per Share</t>
  </si>
  <si>
    <t>Dividend payout ratio</t>
  </si>
  <si>
    <t>Retained Earnings</t>
  </si>
  <si>
    <t xml:space="preserve">Balance Sheet </t>
  </si>
  <si>
    <t xml:space="preserve">Equity Share Capital 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</si>
  <si>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</si>
  <si>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</si>
  <si>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</si>
  <si>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</si>
  <si>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</si>
  <si>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</si>
  <si>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CashFlow Statements</t>
  </si>
  <si>
    <t>Operating Activities</t>
  </si>
  <si>
    <t>Investing Activities</t>
  </si>
  <si>
    <t>Cash from Investing Activities</t>
  </si>
  <si>
    <t>Financing Activities</t>
  </si>
  <si>
    <t>Cash from Financing Activities</t>
  </si>
  <si>
    <t>LTM</t>
  </si>
  <si>
    <t>-</t>
  </si>
  <si>
    <t>Depreciation%Sales</t>
  </si>
  <si>
    <t>Earnings Before Tax</t>
  </si>
  <si>
    <t>EBT % Sales</t>
  </si>
  <si>
    <t>Effective Tax Rate</t>
  </si>
  <si>
    <t>Cash from Operating  Activities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</si>
  <si>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</si>
  <si>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</si>
  <si>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</si>
  <si>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</si>
  <si>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</si>
  <si>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</si>
  <si>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</si>
  <si>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</si>
  <si>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</si>
  <si>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</si>
  <si>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</si>
  <si>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</si>
  <si>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</si>
  <si>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</si>
  <si>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</si>
  <si>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</si>
  <si>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</si>
  <si>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</si>
  <si>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</si>
  <si>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</si>
  <si>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</si>
  <si>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</si>
  <si>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</si>
  <si>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</si>
  <si>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</si>
  <si>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</si>
  <si>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</si>
  <si>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</si>
  <si>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</si>
  <si>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Trend</t>
  </si>
  <si>
    <t>Mean</t>
  </si>
  <si>
    <t>Median</t>
  </si>
  <si>
    <t>EAES/SHF</t>
  </si>
  <si>
    <t>g=b*r         (b=1-divident payout ration , r = returm on equity)</t>
  </si>
  <si>
    <t>ebt/interets expneses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</si>
</sst>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&quot;₹&quot;\ \(#,##0.00\)"/>
    <numFmt numFmtId="167" formatCode="0.00&quot;x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43" fontId="0" fillId="0" borderId="0" xfId="1" applyFont="1" applyBorder="1"/>
    <xf numFmtId="164" fontId="0" fillId="0" borderId="0" xfId="1" applyNumberFormat="1" applyFont="1" applyBorder="1"/>
    <xf numFmtId="43" fontId="2" fillId="0" borderId="0" xfId="1" applyFont="1" applyBorder="1"/>
    <xf numFmtId="43" fontId="1" fillId="0" borderId="0" xfId="1" applyFont="1" applyBorder="1"/>
    <xf numFmtId="165" fontId="3" fillId="0" borderId="0" xfId="1" applyNumberFormat="1" applyFont="1" applyFill="1" applyBorder="1"/>
    <xf numFmtId="165" fontId="4" fillId="3" borderId="0" xfId="0" applyNumberFormat="1" applyFont="1" applyFill="1" applyAlignment="1">
      <alignment horizontal="center"/>
    </xf>
    <xf numFmtId="165" fontId="4" fillId="3" borderId="0" xfId="1" applyNumberFormat="1" applyFont="1" applyFill="1" applyBorder="1"/>
    <xf numFmtId="3" fontId="0" fillId="0" borderId="0" xfId="0" applyNumberFormat="1"/>
    <xf numFmtId="0" fontId="0" fillId="4" borderId="0" xfId="0" applyFill="1"/>
    <xf numFmtId="17" fontId="0" fillId="4" borderId="0" xfId="0" applyNumberFormat="1" applyFill="1"/>
    <xf numFmtId="0" fontId="2" fillId="0" borderId="0" xfId="0" applyFont="1"/>
    <xf numFmtId="0" fontId="7" fillId="5" borderId="0" xfId="0" applyFont="1" applyFill="1"/>
    <xf numFmtId="17" fontId="7" fillId="5" borderId="0" xfId="0" applyNumberFormat="1" applyFont="1" applyFill="1"/>
    <xf numFmtId="0" fontId="2" fillId="6" borderId="0" xfId="0" applyFont="1" applyFill="1"/>
    <xf numFmtId="0" fontId="0" fillId="6" borderId="0" xfId="0" applyFill="1"/>
    <xf numFmtId="0" fontId="0" fillId="0" borderId="0" xfId="0" applyAlignment="1">
      <alignment wrapText="1"/>
    </xf>
    <xf numFmtId="0" fontId="8" fillId="0" borderId="0" xfId="0" applyFont="1"/>
    <xf numFmtId="0" fontId="2" fillId="7" borderId="0" xfId="0" applyFont="1" applyFill="1"/>
    <xf numFmtId="0" fontId="0" fillId="7" borderId="0" xfId="0" applyFill="1"/>
    <xf numFmtId="0" fontId="9" fillId="0" borderId="0" xfId="0" applyFont="1"/>
    <xf numFmtId="7" fontId="0" fillId="0" borderId="0" xfId="1" applyNumberFormat="1" applyFont="1"/>
    <xf numFmtId="0" fontId="0" fillId="0" borderId="0" xfId="0" applyAlignment="1">
      <alignment horizontal="right"/>
    </xf>
    <xf numFmtId="10" fontId="0" fillId="0" borderId="0" xfId="2" applyNumberFormat="1" applyFont="1"/>
    <xf numFmtId="10" fontId="8" fillId="0" borderId="0" xfId="2" applyNumberFormat="1" applyFont="1"/>
    <xf numFmtId="7" fontId="0" fillId="0" borderId="0" xfId="0" applyNumberFormat="1"/>
    <xf numFmtId="166" fontId="0" fillId="0" borderId="0" xfId="0" applyNumberFormat="1"/>
    <xf numFmtId="0" fontId="8" fillId="0" borderId="0" xfId="0" applyFont="1" applyAlignment="1">
      <alignment wrapText="1"/>
    </xf>
    <xf numFmtId="10" fontId="8" fillId="0" borderId="0" xfId="2" applyNumberFormat="1" applyFont="1" applyAlignment="1">
      <alignment horizontal="right"/>
    </xf>
    <xf numFmtId="166" fontId="2" fillId="0" borderId="0" xfId="0" applyNumberFormat="1" applyFont="1"/>
    <xf numFmtId="10" fontId="0" fillId="0" borderId="0" xfId="0" applyNumberFormat="1"/>
    <xf numFmtId="0" fontId="2" fillId="8" borderId="0" xfId="0" applyFont="1" applyFill="1"/>
    <xf numFmtId="167" fontId="0" fillId="0" borderId="0" xfId="2" applyNumberFormat="1" applyFont="1"/>
    <xf numFmtId="1" fontId="0" fillId="0" borderId="0" xfId="0" applyNumberFormat="1"/>
    <xf numFmtId="0" fontId="4" fillId="5" borderId="0" xfId="0" applyFont="1" applyFill="1" applyAlignment="1">
      <alignment horizontal="center"/>
    </xf>
    <xf numFmtId="43" fontId="6" fillId="0" borderId="0" xfId="4" applyNumberFormat="1" applyBorder="1" applyAlignment="1" applyProtection="1">
      <alignment horizontal="center"/>
    </xf>
    <xf numFmtId="43" fontId="4" fillId="2" borderId="0" xfId="3" applyNumberFormat="1" applyFont="1" applyBorder="1" applyAlignment="1">
      <alignment horizontal="center"/>
    </xf>
  </cellXfs>
  <cellStyles count="5">
    <cellStyle name="Accent6 2" xfId="3" xr:uid="{DC703454-4684-4FAF-A887-3BFBE66153C9}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6688-88A3-4C2F-A1BE-B97AFCB5D46D}">
  <dimension ref="A2:M106"/>
  <sheetViews>
    <sheetView showGridLines="0" zoomScaleNormal="100" workbookViewId="0">
      <pane ySplit="3" topLeftCell="A55" activePane="bottomLeft" state="frozen"/>
      <selection pane="bottomLeft" activeCell="J42" sqref="J42"/>
    </sheetView>
  </sheetViews>
  <sheetFormatPr defaultRowHeight="14.5" x14ac:dyDescent="0.35"/>
  <cols>
    <col min="1" max="1" width="1.81640625" bestFit="1" customWidth="1"/>
    <col min="2" max="2" width="26.54296875" bestFit="1" customWidth="1"/>
    <col min="3" max="3" width="9.36328125" bestFit="1" customWidth="1"/>
    <col min="4" max="10" width="10.6328125" bestFit="1" customWidth="1"/>
    <col min="11" max="11" width="10.54296875" bestFit="1" customWidth="1"/>
    <col min="12" max="12" width="10.6328125" bestFit="1" customWidth="1"/>
    <col min="13" max="13" width="10.54296875" bestFit="1" customWidth="1"/>
  </cols>
  <sheetData>
    <row r="2" spans="1:13" x14ac:dyDescent="0.35">
      <c r="B2" s="34" t="str">
        <f>"Historical Financial Statement - "  &amp;   'Data Sheet'!B1</f>
        <v>Historical Financial Statement - GODREJ CONSUMER PRODUCTS LTD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x14ac:dyDescent="0.35">
      <c r="B3" s="12" t="s">
        <v>84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13" t="s">
        <v>119</v>
      </c>
    </row>
    <row r="5" spans="1:13" x14ac:dyDescent="0.35">
      <c r="A5" t="s">
        <v>83</v>
      </c>
      <c r="B5" s="14" t="s">
        <v>85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35">
      <c r="B6" t="s">
        <v>86</v>
      </c>
      <c r="C6" s="21">
        <f>IFERROR('Data Sheet'!B17,0)</f>
        <v>8423.8799999999992</v>
      </c>
      <c r="D6" s="21">
        <f>IFERROR('Data Sheet'!C17,0)</f>
        <v>9267.91</v>
      </c>
      <c r="E6" s="21">
        <f>IFERROR('Data Sheet'!D17,0)</f>
        <v>9847.43</v>
      </c>
      <c r="F6" s="21">
        <f>IFERROR('Data Sheet'!E17,0)</f>
        <v>10314.34</v>
      </c>
      <c r="G6" s="21">
        <f>IFERROR('Data Sheet'!F17,0)</f>
        <v>9910.7999999999993</v>
      </c>
      <c r="H6" s="21">
        <f>IFERROR('Data Sheet'!G17,0)</f>
        <v>11028.62</v>
      </c>
      <c r="I6" s="21">
        <f>IFERROR('Data Sheet'!H17,0)</f>
        <v>12276.5</v>
      </c>
      <c r="J6" s="21">
        <f>IFERROR('Data Sheet'!I17,0)</f>
        <v>13315.97</v>
      </c>
      <c r="K6" s="21">
        <f>IFERROR('Data Sheet'!J17,0)</f>
        <v>14096.11</v>
      </c>
      <c r="L6" s="21">
        <f>IFERROR('Data Sheet'!K17,0)</f>
        <v>14364.29</v>
      </c>
      <c r="M6" s="21">
        <f>IFERROR(SUM('Data Sheet'!H42:K42),0)</f>
        <v>15184.02</v>
      </c>
    </row>
    <row r="7" spans="1:13" x14ac:dyDescent="0.35">
      <c r="B7" s="17" t="s">
        <v>87</v>
      </c>
      <c r="C7" s="22" t="s">
        <v>120</v>
      </c>
      <c r="D7" s="24">
        <f>C6/D6-1</f>
        <v>-9.1070154975609441E-2</v>
      </c>
      <c r="E7" s="24">
        <f t="shared" ref="E7:M7" si="0">D6/E6-1</f>
        <v>-5.8849872504805889E-2</v>
      </c>
      <c r="F7" s="24">
        <f t="shared" si="0"/>
        <v>-4.5268044295611709E-2</v>
      </c>
      <c r="G7" s="24">
        <f t="shared" si="0"/>
        <v>4.0717197400815364E-2</v>
      </c>
      <c r="H7" s="24">
        <f t="shared" si="0"/>
        <v>-0.10135628936349261</v>
      </c>
      <c r="I7" s="24">
        <f t="shared" si="0"/>
        <v>-0.10164786380483026</v>
      </c>
      <c r="J7" s="24">
        <f t="shared" si="0"/>
        <v>-7.8061906117241175E-2</v>
      </c>
      <c r="K7" s="24">
        <f t="shared" si="0"/>
        <v>-5.5344346773684494E-2</v>
      </c>
      <c r="L7" s="24">
        <f t="shared" si="0"/>
        <v>-1.8669909894606707E-2</v>
      </c>
      <c r="M7" s="24">
        <f t="shared" si="0"/>
        <v>-5.3986361977921504E-2</v>
      </c>
    </row>
    <row r="9" spans="1:13" x14ac:dyDescent="0.35">
      <c r="B9" t="s">
        <v>89</v>
      </c>
      <c r="C9" s="21">
        <f>IFERROR(SUM('Data Sheet'!B18,'Data Sheet'!B20:B22)-1*'Data Sheet'!B19,0)</f>
        <v>5157.59</v>
      </c>
      <c r="D9" s="21">
        <f>IFERROR(SUM('Data Sheet'!C18,'Data Sheet'!C20:C22)-1*'Data Sheet'!C19,0)</f>
        <v>5512.8500000000013</v>
      </c>
      <c r="E9" s="21">
        <f>IFERROR(SUM('Data Sheet'!D18,'Data Sheet'!D20:D22)-1*'Data Sheet'!D19,0)</f>
        <v>5751.6299999999992</v>
      </c>
      <c r="F9" s="21">
        <f>IFERROR(SUM('Data Sheet'!E18,'Data Sheet'!E20:E22)-1*'Data Sheet'!E19,0)</f>
        <v>6071.83</v>
      </c>
      <c r="G9" s="21">
        <f>IFERROR(SUM('Data Sheet'!F18,'Data Sheet'!F20:F22)-1*'Data Sheet'!F19,0)</f>
        <v>5777.48</v>
      </c>
      <c r="H9" s="21">
        <f>IFERROR(SUM('Data Sheet'!G18,'Data Sheet'!G20:G22)-1*'Data Sheet'!G19,0)</f>
        <v>6556.24</v>
      </c>
      <c r="I9" s="21">
        <f>IFERROR(SUM('Data Sheet'!H18,'Data Sheet'!H20:H22)-1*'Data Sheet'!H19,0)</f>
        <v>7743.02</v>
      </c>
      <c r="J9" s="21">
        <f>IFERROR(SUM('Data Sheet'!I18,'Data Sheet'!I20:I22)-1*'Data Sheet'!I19,0)</f>
        <v>8407.8100000000013</v>
      </c>
      <c r="K9" s="21">
        <f>IFERROR(SUM('Data Sheet'!J18,'Data Sheet'!J20:J22)-1*'Data Sheet'!J19,0)</f>
        <v>8140.920000000001</v>
      </c>
      <c r="L9" s="21">
        <f>IFERROR(SUM('Data Sheet'!K18,'Data Sheet'!K20:K22)-1*'Data Sheet'!K19,0)</f>
        <v>8273.1699999999983</v>
      </c>
      <c r="M9" s="21">
        <f>IFERROR(SUM('Data Sheet'!H43:K43),0)</f>
        <v>12116.470000000001</v>
      </c>
    </row>
    <row r="10" spans="1:13" x14ac:dyDescent="0.35">
      <c r="B10" s="17" t="s">
        <v>88</v>
      </c>
      <c r="C10" s="24">
        <f>C9/C6</f>
        <v>0.61225824679363916</v>
      </c>
      <c r="D10" s="24">
        <f t="shared" ref="D10:M10" si="1">D9/D6</f>
        <v>0.59483206030270053</v>
      </c>
      <c r="E10" s="24">
        <f t="shared" si="1"/>
        <v>0.58407422038034285</v>
      </c>
      <c r="F10" s="24">
        <f t="shared" si="1"/>
        <v>0.58867848063957562</v>
      </c>
      <c r="G10" s="24">
        <f t="shared" si="1"/>
        <v>0.58294789522541068</v>
      </c>
      <c r="H10" s="24">
        <f t="shared" si="1"/>
        <v>0.5944751020526593</v>
      </c>
      <c r="I10" s="24">
        <f t="shared" si="1"/>
        <v>0.63071885309330844</v>
      </c>
      <c r="J10" s="24">
        <f t="shared" si="1"/>
        <v>0.63140800106939277</v>
      </c>
      <c r="K10" s="24">
        <f t="shared" si="1"/>
        <v>0.57752954538521628</v>
      </c>
      <c r="L10" s="24">
        <f t="shared" si="1"/>
        <v>0.5759539803220346</v>
      </c>
      <c r="M10" s="24">
        <f t="shared" si="1"/>
        <v>0.79797510804121707</v>
      </c>
    </row>
    <row r="12" spans="1:13" x14ac:dyDescent="0.35">
      <c r="B12" t="s">
        <v>90</v>
      </c>
      <c r="C12" s="25">
        <f>C6-C9</f>
        <v>3266.2899999999991</v>
      </c>
      <c r="D12" s="25">
        <f t="shared" ref="D12:M12" si="2">D6-D9</f>
        <v>3755.0599999999986</v>
      </c>
      <c r="E12" s="25">
        <f t="shared" si="2"/>
        <v>4095.8000000000011</v>
      </c>
      <c r="F12" s="25">
        <f t="shared" si="2"/>
        <v>4242.51</v>
      </c>
      <c r="G12" s="25">
        <f t="shared" si="2"/>
        <v>4133.32</v>
      </c>
      <c r="H12" s="25">
        <f t="shared" si="2"/>
        <v>4472.380000000001</v>
      </c>
      <c r="I12" s="25">
        <f t="shared" si="2"/>
        <v>4533.4799999999996</v>
      </c>
      <c r="J12" s="25">
        <f t="shared" si="2"/>
        <v>4908.159999999998</v>
      </c>
      <c r="K12" s="25">
        <f t="shared" si="2"/>
        <v>5955.19</v>
      </c>
      <c r="L12" s="25">
        <f t="shared" si="2"/>
        <v>6091.1200000000026</v>
      </c>
      <c r="M12" s="25">
        <f t="shared" si="2"/>
        <v>3067.5499999999993</v>
      </c>
    </row>
    <row r="13" spans="1:13" x14ac:dyDescent="0.35">
      <c r="B13" s="17" t="s">
        <v>91</v>
      </c>
      <c r="C13" s="24">
        <f>C12/C6</f>
        <v>0.3877417532063609</v>
      </c>
      <c r="D13" s="24">
        <f t="shared" ref="D13:M13" si="3">D12/D6</f>
        <v>0.40516793969729947</v>
      </c>
      <c r="E13" s="24">
        <f t="shared" si="3"/>
        <v>0.41592577961965721</v>
      </c>
      <c r="F13" s="24">
        <f t="shared" si="3"/>
        <v>0.41132151936042444</v>
      </c>
      <c r="G13" s="24">
        <f t="shared" si="3"/>
        <v>0.41705210477458932</v>
      </c>
      <c r="H13" s="24">
        <f t="shared" si="3"/>
        <v>0.4055248979473407</v>
      </c>
      <c r="I13" s="24">
        <f t="shared" si="3"/>
        <v>0.36928114690669162</v>
      </c>
      <c r="J13" s="24">
        <f t="shared" si="3"/>
        <v>0.36859199893060723</v>
      </c>
      <c r="K13" s="24">
        <f t="shared" si="3"/>
        <v>0.42247045461478377</v>
      </c>
      <c r="L13" s="24">
        <f t="shared" si="3"/>
        <v>0.42404601967796546</v>
      </c>
      <c r="M13" s="24">
        <f t="shared" si="3"/>
        <v>0.20202489195878293</v>
      </c>
    </row>
    <row r="15" spans="1:13" x14ac:dyDescent="0.35">
      <c r="B15" t="s">
        <v>92</v>
      </c>
      <c r="C15" s="25">
        <f>IFERROR(SUM('Data Sheet'!B23:B24),0)</f>
        <v>1608.91</v>
      </c>
      <c r="D15" s="25">
        <f>IFERROR(SUM('Data Sheet'!C23:C24),0)</f>
        <v>1848.3500000000001</v>
      </c>
      <c r="E15" s="25">
        <f>IFERROR(SUM('Data Sheet'!D23:D24),0)</f>
        <v>2011.4</v>
      </c>
      <c r="F15" s="25">
        <f>IFERROR(SUM('Data Sheet'!E23:E24),0)</f>
        <v>2110.94</v>
      </c>
      <c r="G15" s="25">
        <f>IFERROR(SUM('Data Sheet'!F23:F24),0)</f>
        <v>1979.5700000000002</v>
      </c>
      <c r="H15" s="25">
        <f>IFERROR(SUM('Data Sheet'!G23:G24),0)</f>
        <v>2073.12</v>
      </c>
      <c r="I15" s="25">
        <f>IFERROR(SUM('Data Sheet'!H23:H24),0)</f>
        <v>2124.3000000000002</v>
      </c>
      <c r="J15" s="25">
        <f>IFERROR(SUM('Data Sheet'!I23:I24),0)</f>
        <v>2464.96</v>
      </c>
      <c r="K15" s="25">
        <f>IFERROR(SUM('Data Sheet'!J23:J24),0)</f>
        <v>2997.87</v>
      </c>
      <c r="L15" s="25">
        <f>IFERROR(SUM('Data Sheet'!K23:K24),0)</f>
        <v>3076.1100000000006</v>
      </c>
    </row>
    <row r="16" spans="1:13" x14ac:dyDescent="0.35">
      <c r="B16" s="17" t="s">
        <v>93</v>
      </c>
      <c r="C16" s="24">
        <f>C15/C6</f>
        <v>0.19099393628589204</v>
      </c>
      <c r="D16" s="24">
        <f t="shared" ref="D16:M16" si="4">D15/D6</f>
        <v>0.1994354714277545</v>
      </c>
      <c r="E16" s="24">
        <f t="shared" si="4"/>
        <v>0.20425633896356715</v>
      </c>
      <c r="F16" s="24">
        <f t="shared" si="4"/>
        <v>0.20466069569162931</v>
      </c>
      <c r="G16" s="24">
        <f t="shared" si="4"/>
        <v>0.19973866892682732</v>
      </c>
      <c r="H16" s="24">
        <f t="shared" si="4"/>
        <v>0.18797637419731569</v>
      </c>
      <c r="I16" s="24">
        <f t="shared" si="4"/>
        <v>0.17303791797336376</v>
      </c>
      <c r="J16" s="24">
        <f t="shared" si="4"/>
        <v>0.18511306348692586</v>
      </c>
      <c r="K16" s="24">
        <f t="shared" si="4"/>
        <v>0.2126735673884497</v>
      </c>
      <c r="L16" s="24">
        <f t="shared" si="4"/>
        <v>0.21414981179021034</v>
      </c>
      <c r="M16" s="24">
        <f t="shared" si="4"/>
        <v>0</v>
      </c>
    </row>
    <row r="18" spans="2:13" x14ac:dyDescent="0.35">
      <c r="B18" t="s">
        <v>94</v>
      </c>
      <c r="C18" s="25">
        <f>C12-C15</f>
        <v>1657.379999999999</v>
      </c>
      <c r="D18" s="25">
        <f t="shared" ref="D18:M18" si="5">D12-D15</f>
        <v>1906.7099999999984</v>
      </c>
      <c r="E18" s="25">
        <f t="shared" si="5"/>
        <v>2084.400000000001</v>
      </c>
      <c r="F18" s="25">
        <f t="shared" si="5"/>
        <v>2131.5700000000002</v>
      </c>
      <c r="G18" s="25">
        <f t="shared" si="5"/>
        <v>2153.7499999999995</v>
      </c>
      <c r="H18" s="25">
        <f t="shared" si="5"/>
        <v>2399.2600000000011</v>
      </c>
      <c r="I18" s="25">
        <f t="shared" si="5"/>
        <v>2409.1799999999994</v>
      </c>
      <c r="J18" s="25">
        <f t="shared" si="5"/>
        <v>2443.199999999998</v>
      </c>
      <c r="K18" s="25">
        <f t="shared" si="5"/>
        <v>2957.3199999999997</v>
      </c>
      <c r="L18" s="25">
        <f t="shared" si="5"/>
        <v>3015.010000000002</v>
      </c>
      <c r="M18" s="25">
        <f t="shared" si="5"/>
        <v>3067.5499999999993</v>
      </c>
    </row>
    <row r="19" spans="2:13" x14ac:dyDescent="0.35">
      <c r="B19" s="17" t="s">
        <v>95</v>
      </c>
      <c r="C19" s="24">
        <f>C18/C6</f>
        <v>0.19674781692046886</v>
      </c>
      <c r="D19" s="24">
        <f t="shared" ref="D19:M19" si="6">D18/D6</f>
        <v>0.20573246826954497</v>
      </c>
      <c r="E19" s="24">
        <f t="shared" si="6"/>
        <v>0.21166944065609006</v>
      </c>
      <c r="F19" s="24">
        <f t="shared" si="6"/>
        <v>0.2066608236687951</v>
      </c>
      <c r="G19" s="24">
        <f t="shared" si="6"/>
        <v>0.217313435847762</v>
      </c>
      <c r="H19" s="24">
        <f t="shared" si="6"/>
        <v>0.21754852375002501</v>
      </c>
      <c r="I19" s="24">
        <f t="shared" si="6"/>
        <v>0.19624322893332785</v>
      </c>
      <c r="J19" s="24">
        <f t="shared" si="6"/>
        <v>0.18347893544368141</v>
      </c>
      <c r="K19" s="24">
        <f t="shared" si="6"/>
        <v>0.20979688722633405</v>
      </c>
      <c r="L19" s="24">
        <f t="shared" si="6"/>
        <v>0.20989620788775512</v>
      </c>
      <c r="M19" s="24">
        <f t="shared" si="6"/>
        <v>0.20202489195878293</v>
      </c>
    </row>
    <row r="21" spans="2:13" x14ac:dyDescent="0.35">
      <c r="B21" t="s">
        <v>29</v>
      </c>
      <c r="C21" s="26">
        <f>IFERROR('Data Sheet'!B25,0)</f>
        <v>-262.04000000000002</v>
      </c>
      <c r="D21" s="26">
        <f>IFERROR('Data Sheet'!C25,0)</f>
        <v>76.180000000000007</v>
      </c>
      <c r="E21" s="26">
        <f>IFERROR('Data Sheet'!D25,0)</f>
        <v>283.27999999999997</v>
      </c>
      <c r="F21" s="26">
        <f>IFERROR('Data Sheet'!E25,0)</f>
        <v>361.95</v>
      </c>
      <c r="G21" s="26">
        <f>IFERROR('Data Sheet'!F25,0)</f>
        <v>32.06</v>
      </c>
      <c r="H21" s="26">
        <f>IFERROR('Data Sheet'!G25,0)</f>
        <v>22.6</v>
      </c>
      <c r="I21" s="26">
        <f>IFERROR('Data Sheet'!H25,0)</f>
        <v>78.27</v>
      </c>
      <c r="J21" s="26">
        <f>IFERROR('Data Sheet'!I25,0)</f>
        <v>114.3</v>
      </c>
      <c r="K21" s="26">
        <f>IFERROR('Data Sheet'!J25,0)</f>
        <v>-2208.56</v>
      </c>
      <c r="L21" s="26">
        <f>IFERROR('Data Sheet'!K25,0)</f>
        <v>251.93</v>
      </c>
      <c r="M21" s="26">
        <f>IFERROR(SUM('Data Sheet'!H46:K46),0)</f>
        <v>330.86</v>
      </c>
    </row>
    <row r="22" spans="2:13" x14ac:dyDescent="0.35">
      <c r="B22" s="17" t="s">
        <v>96</v>
      </c>
      <c r="C22" s="24">
        <f>C21/C6</f>
        <v>-3.1106805889922463E-2</v>
      </c>
      <c r="D22" s="24">
        <f t="shared" ref="D22:M22" si="7">D21/D6</f>
        <v>8.2197604422140497E-3</v>
      </c>
      <c r="E22" s="24">
        <f t="shared" si="7"/>
        <v>2.8766896540518689E-2</v>
      </c>
      <c r="F22" s="24">
        <f t="shared" si="7"/>
        <v>3.5091920568839106E-2</v>
      </c>
      <c r="G22" s="24">
        <f t="shared" si="7"/>
        <v>3.2348549057593739E-3</v>
      </c>
      <c r="H22" s="24">
        <f t="shared" si="7"/>
        <v>2.0492137728927102E-3</v>
      </c>
      <c r="I22" s="24">
        <f t="shared" si="7"/>
        <v>6.3755956502260409E-3</v>
      </c>
      <c r="J22" s="24">
        <f t="shared" si="7"/>
        <v>8.5836780947989525E-3</v>
      </c>
      <c r="K22" s="24">
        <f t="shared" si="7"/>
        <v>-0.1566786865312487</v>
      </c>
      <c r="L22" s="24">
        <f t="shared" si="7"/>
        <v>1.7538632260974959E-2</v>
      </c>
      <c r="M22" s="24">
        <f t="shared" si="7"/>
        <v>2.1790013448348987E-2</v>
      </c>
    </row>
    <row r="23" spans="2:13" x14ac:dyDescent="0.35">
      <c r="B23" s="17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2:13" x14ac:dyDescent="0.35">
      <c r="B24" s="16" t="s">
        <v>30</v>
      </c>
      <c r="C24" s="26">
        <f>IFERROR('Data Sheet'!B26,0)</f>
        <v>100.63</v>
      </c>
      <c r="D24" s="26">
        <f>IFERROR('Data Sheet'!C26,0)</f>
        <v>141.57</v>
      </c>
      <c r="E24" s="26">
        <f>IFERROR('Data Sheet'!D26,0)</f>
        <v>155.68</v>
      </c>
      <c r="F24" s="26">
        <f>IFERROR('Data Sheet'!E26,0)</f>
        <v>169.98</v>
      </c>
      <c r="G24" s="26">
        <f>IFERROR('Data Sheet'!F26,0)</f>
        <v>197.28</v>
      </c>
      <c r="H24" s="26">
        <f>IFERROR('Data Sheet'!G26,0)</f>
        <v>203.85</v>
      </c>
      <c r="I24" s="26">
        <f>IFERROR('Data Sheet'!H26,0)</f>
        <v>209.93</v>
      </c>
      <c r="J24" s="26">
        <f>IFERROR('Data Sheet'!I26,0)</f>
        <v>236.29</v>
      </c>
      <c r="K24" s="26">
        <f>IFERROR('Data Sheet'!J26,0)</f>
        <v>240.96</v>
      </c>
      <c r="L24" s="26">
        <f>IFERROR('Data Sheet'!K26,0)</f>
        <v>234</v>
      </c>
      <c r="M24" s="26">
        <f>IFERROR(SUM('Data Sheet'!H45:K45),0)</f>
        <v>263.95000000000005</v>
      </c>
    </row>
    <row r="25" spans="2:13" x14ac:dyDescent="0.35">
      <c r="B25" s="27" t="s">
        <v>121</v>
      </c>
      <c r="C25" s="24">
        <f>C24/C6</f>
        <v>1.1945801697080207E-2</v>
      </c>
      <c r="D25" s="24">
        <f t="shared" ref="D25:M25" si="8">D24/D6</f>
        <v>1.5275288603363649E-2</v>
      </c>
      <c r="E25" s="24">
        <f t="shared" si="8"/>
        <v>1.5809200979341818E-2</v>
      </c>
      <c r="F25" s="24">
        <f t="shared" si="8"/>
        <v>1.6479968664984863E-2</v>
      </c>
      <c r="G25" s="24">
        <f t="shared" si="8"/>
        <v>1.9905557573556124E-2</v>
      </c>
      <c r="H25" s="24">
        <f t="shared" si="8"/>
        <v>1.8483726885140661E-2</v>
      </c>
      <c r="I25" s="24">
        <f t="shared" si="8"/>
        <v>1.7100150694416161E-2</v>
      </c>
      <c r="J25" s="24">
        <f t="shared" si="8"/>
        <v>1.7744858241645182E-2</v>
      </c>
      <c r="K25" s="24">
        <f t="shared" si="8"/>
        <v>1.7094077727827037E-2</v>
      </c>
      <c r="L25" s="24">
        <f t="shared" si="8"/>
        <v>1.6290397924296988E-2</v>
      </c>
      <c r="M25" s="24">
        <f t="shared" si="8"/>
        <v>1.7383407029232051E-2</v>
      </c>
    </row>
    <row r="26" spans="2:13" x14ac:dyDescent="0.35">
      <c r="B26" s="17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2:13" x14ac:dyDescent="0.35">
      <c r="B27" s="16" t="s">
        <v>122</v>
      </c>
      <c r="C27" s="26">
        <f>IFERROR('Data Sheet'!B18-SUM('Data Sheet'!B24,B21),0)</f>
        <v>3815.21</v>
      </c>
      <c r="D27" s="26">
        <f>IFERROR('Data Sheet'!C18-SUM('Data Sheet'!C24,C21),0)</f>
        <v>4328.93</v>
      </c>
      <c r="E27" s="26">
        <f>IFERROR('Data Sheet'!D18-SUM('Data Sheet'!D24,D21),0)</f>
        <v>3906.5399999999995</v>
      </c>
      <c r="F27" s="26">
        <f>IFERROR('Data Sheet'!E18-SUM('Data Sheet'!E24,E21),0)</f>
        <v>3894.43</v>
      </c>
      <c r="G27" s="26">
        <f>IFERROR('Data Sheet'!F18-SUM('Data Sheet'!F24,F21),0)</f>
        <v>3863.44</v>
      </c>
      <c r="H27" s="26">
        <f>IFERROR('Data Sheet'!G18-SUM('Data Sheet'!G24,G21),0)</f>
        <v>4675.3200000000006</v>
      </c>
      <c r="I27" s="26">
        <f>IFERROR('Data Sheet'!H18-SUM('Data Sheet'!H24,H21),0)</f>
        <v>5826.22</v>
      </c>
      <c r="J27" s="26">
        <f>IFERROR('Data Sheet'!I18-SUM('Data Sheet'!I24,I21),0)</f>
        <v>6091.06</v>
      </c>
      <c r="K27" s="26">
        <f>IFERROR('Data Sheet'!J18-SUM('Data Sheet'!J24,J21),0)</f>
        <v>5860.92</v>
      </c>
      <c r="L27" s="26">
        <f>IFERROR('Data Sheet'!K18-SUM('Data Sheet'!K24,K21),0)</f>
        <v>9967.9500000000007</v>
      </c>
      <c r="M27" s="26">
        <f>IFERROR('Data Sheet'!M18-SUM('Data Sheet'!M4,M21),0)</f>
        <v>-330.86</v>
      </c>
    </row>
    <row r="28" spans="2:13" x14ac:dyDescent="0.35">
      <c r="B28" s="27" t="s">
        <v>123</v>
      </c>
      <c r="C28" s="24">
        <f>C27/C6</f>
        <v>0.45290412494005144</v>
      </c>
      <c r="D28" s="24">
        <f t="shared" ref="D28:M28" si="9">D27/D6</f>
        <v>0.46708804897760126</v>
      </c>
      <c r="E28" s="24">
        <f t="shared" si="9"/>
        <v>0.39670655186175474</v>
      </c>
      <c r="F28" s="24">
        <f t="shared" si="9"/>
        <v>0.37757432855616546</v>
      </c>
      <c r="G28" s="24">
        <f t="shared" si="9"/>
        <v>0.38982120514993746</v>
      </c>
      <c r="H28" s="24">
        <f t="shared" si="9"/>
        <v>0.42392611224251087</v>
      </c>
      <c r="I28" s="24">
        <f t="shared" si="9"/>
        <v>0.47458314666232232</v>
      </c>
      <c r="J28" s="24">
        <f t="shared" si="9"/>
        <v>0.45742518194318554</v>
      </c>
      <c r="K28" s="24">
        <f t="shared" si="9"/>
        <v>0.4157827939764942</v>
      </c>
      <c r="L28" s="24">
        <f t="shared" si="9"/>
        <v>0.6939396238867358</v>
      </c>
      <c r="M28" s="24">
        <f t="shared" si="9"/>
        <v>-2.1790013448348987E-2</v>
      </c>
    </row>
    <row r="29" spans="2:13" x14ac:dyDescent="0.35">
      <c r="B29" s="16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2:13" x14ac:dyDescent="0.35">
      <c r="B30" s="16" t="s">
        <v>27</v>
      </c>
      <c r="C30" s="26">
        <f>IFERROR('Data Sheet'!B29,0)</f>
        <v>336.05</v>
      </c>
      <c r="D30" s="26">
        <f>IFERROR('Data Sheet'!C29,0)</f>
        <v>379.16</v>
      </c>
      <c r="E30" s="26">
        <f>IFERROR('Data Sheet'!D29,0)</f>
        <v>404.7</v>
      </c>
      <c r="F30" s="26">
        <f>IFERROR('Data Sheet'!E29,0)</f>
        <v>-256.2</v>
      </c>
      <c r="G30" s="26">
        <f>IFERROR('Data Sheet'!F29,0)</f>
        <v>263.82</v>
      </c>
      <c r="H30" s="26">
        <f>IFERROR('Data Sheet'!G29,0)</f>
        <v>359.54</v>
      </c>
      <c r="I30" s="26">
        <f>IFERROR('Data Sheet'!H29,0)</f>
        <v>371.87</v>
      </c>
      <c r="J30" s="26">
        <f>IFERROR('Data Sheet'!I29,0)</f>
        <v>430.27</v>
      </c>
      <c r="K30" s="26">
        <f>IFERROR('Data Sheet'!J29,0)</f>
        <v>758.78</v>
      </c>
      <c r="L30" s="26">
        <f>IFERROR('Data Sheet'!K29,0)</f>
        <v>819.59</v>
      </c>
      <c r="M30" s="26">
        <f>IFERROR(SUM('Data Sheet'!H48:K48),0)</f>
        <v>756.5</v>
      </c>
    </row>
    <row r="31" spans="2:13" x14ac:dyDescent="0.35">
      <c r="B31" s="27" t="s">
        <v>124</v>
      </c>
      <c r="C31" s="24">
        <f>C30/C27</f>
        <v>8.8081652123998419E-2</v>
      </c>
      <c r="D31" s="24">
        <f t="shared" ref="D31:M31" si="10">D30/D27</f>
        <v>8.758746387675477E-2</v>
      </c>
      <c r="E31" s="24">
        <f t="shared" si="10"/>
        <v>0.10359550906940669</v>
      </c>
      <c r="F31" s="24">
        <f t="shared" si="10"/>
        <v>-6.5786263971877784E-2</v>
      </c>
      <c r="G31" s="24">
        <f t="shared" si="10"/>
        <v>6.8286294079887358E-2</v>
      </c>
      <c r="H31" s="24">
        <f t="shared" si="10"/>
        <v>7.6901688012799119E-2</v>
      </c>
      <c r="I31" s="24">
        <f t="shared" si="10"/>
        <v>6.3826975294444768E-2</v>
      </c>
      <c r="J31" s="24">
        <f t="shared" si="10"/>
        <v>7.0639593108588639E-2</v>
      </c>
      <c r="K31" s="24">
        <f t="shared" si="10"/>
        <v>0.12946431618244233</v>
      </c>
      <c r="L31" s="24">
        <f t="shared" si="10"/>
        <v>8.2222523186813737E-2</v>
      </c>
      <c r="M31" s="24">
        <f t="shared" si="10"/>
        <v>-2.2864655745632594</v>
      </c>
    </row>
    <row r="33" spans="1:13" x14ac:dyDescent="0.35">
      <c r="B33" t="s">
        <v>97</v>
      </c>
      <c r="C33" s="26">
        <f>IFERROR(C27-C30,0)</f>
        <v>3479.16</v>
      </c>
      <c r="D33" s="26">
        <f t="shared" ref="D33:M33" si="11">IFERROR(D27-D30,0)</f>
        <v>3949.7700000000004</v>
      </c>
      <c r="E33" s="26">
        <f t="shared" si="11"/>
        <v>3501.8399999999997</v>
      </c>
      <c r="F33" s="26">
        <f t="shared" si="11"/>
        <v>4150.63</v>
      </c>
      <c r="G33" s="26">
        <f t="shared" si="11"/>
        <v>3599.62</v>
      </c>
      <c r="H33" s="26">
        <f t="shared" si="11"/>
        <v>4315.7800000000007</v>
      </c>
      <c r="I33" s="26">
        <f t="shared" si="11"/>
        <v>5454.35</v>
      </c>
      <c r="J33" s="26">
        <f t="shared" si="11"/>
        <v>5660.7900000000009</v>
      </c>
      <c r="K33" s="26">
        <f t="shared" si="11"/>
        <v>5102.1400000000003</v>
      </c>
      <c r="L33" s="26">
        <f t="shared" si="11"/>
        <v>9148.36</v>
      </c>
      <c r="M33" s="26">
        <f t="shared" si="11"/>
        <v>-1087.3600000000001</v>
      </c>
    </row>
    <row r="34" spans="1:13" x14ac:dyDescent="0.35">
      <c r="B34" s="17" t="s">
        <v>98</v>
      </c>
      <c r="C34" s="24">
        <f>C33/C6</f>
        <v>0.41301158136155786</v>
      </c>
      <c r="D34" s="24">
        <f t="shared" ref="D34:M34" si="12">D33/D6</f>
        <v>0.42617699136051174</v>
      </c>
      <c r="E34" s="24">
        <f t="shared" si="12"/>
        <v>0.3556095346704673</v>
      </c>
      <c r="F34" s="24">
        <f t="shared" si="12"/>
        <v>0.40241353300356592</v>
      </c>
      <c r="G34" s="24">
        <f t="shared" si="12"/>
        <v>0.36320175969649271</v>
      </c>
      <c r="H34" s="24">
        <f t="shared" si="12"/>
        <v>0.39132547861835842</v>
      </c>
      <c r="I34" s="24">
        <f t="shared" si="12"/>
        <v>0.44429193988514643</v>
      </c>
      <c r="J34" s="24">
        <f t="shared" si="12"/>
        <v>0.42511285321309683</v>
      </c>
      <c r="K34" s="24">
        <f t="shared" si="12"/>
        <v>0.36195375887390208</v>
      </c>
      <c r="L34" s="24">
        <f t="shared" si="12"/>
        <v>0.6368821570714599</v>
      </c>
      <c r="M34" s="24">
        <f t="shared" si="12"/>
        <v>-7.1612129067269409E-2</v>
      </c>
    </row>
    <row r="36" spans="1:13" x14ac:dyDescent="0.35">
      <c r="B36" t="s">
        <v>99</v>
      </c>
      <c r="C36" s="26">
        <f>IFERROR('Data Sheet'!E93,0)</f>
        <v>102.22</v>
      </c>
      <c r="D36" s="26">
        <f>IFERROR('Data Sheet'!F93,0)</f>
        <v>102.23</v>
      </c>
      <c r="E36" s="26">
        <f>IFERROR('Data Sheet'!G93,0)</f>
        <v>102.25</v>
      </c>
      <c r="F36" s="26">
        <f>IFERROR('Data Sheet'!H93,0)</f>
        <v>102.26</v>
      </c>
      <c r="G36" s="26">
        <f>IFERROR('Data Sheet'!I93,0)</f>
        <v>102.27</v>
      </c>
      <c r="H36" s="26">
        <f>IFERROR('Data Sheet'!J93,0)</f>
        <v>102.28</v>
      </c>
      <c r="I36" s="26">
        <f>IFERROR('Data Sheet'!K93,0)</f>
        <v>102.3</v>
      </c>
      <c r="J36" s="26">
        <f>IFERROR('Data Sheet'!L93,0)</f>
        <v>0</v>
      </c>
      <c r="K36" s="26">
        <f>IFERROR('Data Sheet'!M93,0)</f>
        <v>0</v>
      </c>
      <c r="L36" s="26">
        <f>IFERROR('Data Sheet'!N93,0)</f>
        <v>0</v>
      </c>
      <c r="M36" s="26">
        <f>L36</f>
        <v>0</v>
      </c>
    </row>
    <row r="38" spans="1:13" x14ac:dyDescent="0.35">
      <c r="B38" t="s">
        <v>100</v>
      </c>
      <c r="C38" s="26">
        <f>IFERROR(C33/C36,0)</f>
        <v>34.036000782625706</v>
      </c>
      <c r="D38" s="26">
        <f t="shared" ref="D38:M38" si="13">IFERROR(D33/D36,0)</f>
        <v>38.636114643451045</v>
      </c>
      <c r="E38" s="26">
        <f t="shared" si="13"/>
        <v>34.24782396088019</v>
      </c>
      <c r="F38" s="26">
        <f t="shared" si="13"/>
        <v>40.58898885194602</v>
      </c>
      <c r="G38" s="26">
        <f t="shared" si="13"/>
        <v>35.19722303705877</v>
      </c>
      <c r="H38" s="26">
        <f t="shared" si="13"/>
        <v>42.195737192021909</v>
      </c>
      <c r="I38" s="26">
        <f t="shared" si="13"/>
        <v>53.317204301075272</v>
      </c>
      <c r="J38" s="26">
        <f t="shared" si="13"/>
        <v>0</v>
      </c>
      <c r="K38" s="26">
        <f t="shared" si="13"/>
        <v>0</v>
      </c>
      <c r="L38" s="26">
        <f t="shared" si="13"/>
        <v>0</v>
      </c>
      <c r="M38" s="26">
        <f t="shared" si="13"/>
        <v>0</v>
      </c>
    </row>
    <row r="39" spans="1:13" x14ac:dyDescent="0.35">
      <c r="B39" s="17" t="s">
        <v>101</v>
      </c>
      <c r="C39" s="28" t="s">
        <v>120</v>
      </c>
      <c r="D39" s="24">
        <f>IFERROR(D38/C38-1,0)</f>
        <v>0.13515435876865856</v>
      </c>
      <c r="E39" s="24">
        <f t="shared" ref="E39:M39" si="14">IFERROR(E38/D38-1,0)</f>
        <v>-0.11358002022376457</v>
      </c>
      <c r="F39" s="24">
        <f t="shared" si="14"/>
        <v>0.1851552641215708</v>
      </c>
      <c r="G39" s="24">
        <f t="shared" si="14"/>
        <v>-0.13283814077149014</v>
      </c>
      <c r="H39" s="24">
        <f t="shared" si="14"/>
        <v>0.1988371113139944</v>
      </c>
      <c r="I39" s="24">
        <f t="shared" si="14"/>
        <v>0.26356849883774847</v>
      </c>
      <c r="J39" s="24">
        <f t="shared" si="14"/>
        <v>-1</v>
      </c>
      <c r="K39" s="24">
        <f t="shared" si="14"/>
        <v>0</v>
      </c>
      <c r="L39" s="24">
        <f t="shared" si="14"/>
        <v>0</v>
      </c>
      <c r="M39" s="24">
        <f t="shared" si="14"/>
        <v>0</v>
      </c>
    </row>
    <row r="41" spans="1:13" x14ac:dyDescent="0.35">
      <c r="B41" t="s">
        <v>102</v>
      </c>
      <c r="C41" s="26">
        <f>IFERROR('Data Sheet'!E31/Historical_FS!C36,0)</f>
        <v>10</v>
      </c>
      <c r="D41" s="26">
        <f>IFERROR('Data Sheet'!F31/Historical_FS!D36,0)</f>
        <v>8</v>
      </c>
      <c r="E41" s="26">
        <f>IFERROR('Data Sheet'!G31/Historical_FS!E36,0)</f>
        <v>0</v>
      </c>
      <c r="F41" s="26">
        <f>IFERROR('Data Sheet'!H31/Historical_FS!F36,0)</f>
        <v>0</v>
      </c>
      <c r="G41" s="26">
        <f>IFERROR('Data Sheet'!I31/Historical_FS!G36,0)</f>
        <v>0</v>
      </c>
      <c r="H41" s="26">
        <f>IFERROR('Data Sheet'!J31/Historical_FS!H36,0)</f>
        <v>15</v>
      </c>
      <c r="I41" s="26">
        <f>IFERROR('Data Sheet'!K31/Historical_FS!I36,0)</f>
        <v>25</v>
      </c>
      <c r="J41" s="26">
        <f>IFERROR('Data Sheet'!L31/Historical_FS!J36,0)</f>
        <v>0</v>
      </c>
      <c r="K41" s="26">
        <f>IFERROR('Data Sheet'!M31/Historical_FS!K36,0)</f>
        <v>0</v>
      </c>
      <c r="L41" s="26">
        <f>IFERROR('Data Sheet'!N31/Historical_FS!L36,0)</f>
        <v>0</v>
      </c>
      <c r="M41" s="26">
        <f>IFERROR('Data Sheet'!O31/Historical_FS!M36,0)</f>
        <v>0</v>
      </c>
    </row>
    <row r="42" spans="1:13" x14ac:dyDescent="0.35">
      <c r="B42" s="17" t="s">
        <v>103</v>
      </c>
      <c r="C42" s="28">
        <f>IFERROR(C41/C38,0)</f>
        <v>0.29380655100656483</v>
      </c>
      <c r="D42" s="28">
        <f t="shared" ref="D42:M42" si="15">IFERROR(D41/D38,0)</f>
        <v>0.20706015793324672</v>
      </c>
      <c r="E42" s="28">
        <f t="shared" si="15"/>
        <v>0</v>
      </c>
      <c r="F42" s="28">
        <f t="shared" si="15"/>
        <v>0</v>
      </c>
      <c r="G42" s="28">
        <f t="shared" si="15"/>
        <v>0</v>
      </c>
      <c r="H42" s="28">
        <f t="shared" si="15"/>
        <v>0.35548614618910135</v>
      </c>
      <c r="I42" s="28">
        <f t="shared" si="15"/>
        <v>0.46889180195623675</v>
      </c>
      <c r="J42" s="28">
        <f t="shared" si="15"/>
        <v>0</v>
      </c>
      <c r="K42" s="28">
        <f t="shared" si="15"/>
        <v>0</v>
      </c>
      <c r="L42" s="28">
        <f t="shared" si="15"/>
        <v>0</v>
      </c>
      <c r="M42" s="28">
        <f t="shared" si="15"/>
        <v>0</v>
      </c>
    </row>
    <row r="43" spans="1:13" x14ac:dyDescent="0.35">
      <c r="B43" s="16"/>
    </row>
    <row r="44" spans="1:13" x14ac:dyDescent="0.35">
      <c r="B44" t="s">
        <v>104</v>
      </c>
      <c r="C44" s="23">
        <f>IFERROR(IF(C38&gt;C41,1-C42,0),0)</f>
        <v>0.70619344899343517</v>
      </c>
      <c r="D44" s="23">
        <f t="shared" ref="D44:M44" si="16">IFERROR(IF(D38&gt;D41,1-D42,0),0)</f>
        <v>0.79293984206675328</v>
      </c>
      <c r="E44" s="23">
        <f t="shared" si="16"/>
        <v>1</v>
      </c>
      <c r="F44" s="23">
        <f t="shared" si="16"/>
        <v>1</v>
      </c>
      <c r="G44" s="23">
        <f t="shared" si="16"/>
        <v>1</v>
      </c>
      <c r="H44" s="23">
        <f t="shared" si="16"/>
        <v>0.64451385381089865</v>
      </c>
      <c r="I44" s="23">
        <f t="shared" si="16"/>
        <v>0.5311081980437633</v>
      </c>
      <c r="J44" s="23">
        <f t="shared" si="16"/>
        <v>0</v>
      </c>
      <c r="K44" s="23">
        <f t="shared" si="16"/>
        <v>0</v>
      </c>
      <c r="L44" s="23">
        <f t="shared" si="16"/>
        <v>0</v>
      </c>
      <c r="M44" s="23">
        <f t="shared" si="16"/>
        <v>0</v>
      </c>
    </row>
    <row r="46" spans="1:13" x14ac:dyDescent="0.35">
      <c r="A46" t="s">
        <v>83</v>
      </c>
      <c r="B46" s="18" t="s">
        <v>105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x14ac:dyDescent="0.35">
      <c r="B47" t="s">
        <v>106</v>
      </c>
      <c r="C47" s="26">
        <f>IFERROR('Data Sheet'!B57,0)</f>
        <v>34.049999999999997</v>
      </c>
      <c r="D47" s="26">
        <f>IFERROR('Data Sheet'!C57,0)</f>
        <v>34.06</v>
      </c>
      <c r="E47" s="26">
        <f>IFERROR('Data Sheet'!D57,0)</f>
        <v>68.13</v>
      </c>
      <c r="F47" s="26">
        <f>IFERROR('Data Sheet'!E57,0)</f>
        <v>102.22</v>
      </c>
      <c r="G47" s="26">
        <f>IFERROR('Data Sheet'!F57,0)</f>
        <v>102.23</v>
      </c>
      <c r="H47" s="26">
        <f>IFERROR('Data Sheet'!G57,0)</f>
        <v>102.25</v>
      </c>
      <c r="I47" s="26">
        <f>IFERROR('Data Sheet'!H57,0)</f>
        <v>102.26</v>
      </c>
      <c r="J47" s="26">
        <f>IFERROR('Data Sheet'!I57,0)</f>
        <v>102.27</v>
      </c>
      <c r="K47" s="26">
        <f>IFERROR('Data Sheet'!J57,0)</f>
        <v>102.28</v>
      </c>
      <c r="L47" s="26">
        <f>IFERROR('Data Sheet'!K57,0)</f>
        <v>102.3</v>
      </c>
      <c r="M47" s="26"/>
    </row>
    <row r="48" spans="1:13" x14ac:dyDescent="0.35">
      <c r="B48" t="s">
        <v>22</v>
      </c>
      <c r="C48" s="26">
        <f>IFERROR('Data Sheet'!B58,0)</f>
        <v>4232.91</v>
      </c>
      <c r="D48" s="26">
        <f>IFERROR('Data Sheet'!C58,0)</f>
        <v>5267.89</v>
      </c>
      <c r="E48" s="26">
        <f>IFERROR('Data Sheet'!D58,0)</f>
        <v>6190.18</v>
      </c>
      <c r="F48" s="26">
        <f>IFERROR('Data Sheet'!E58,0)</f>
        <v>7164.7</v>
      </c>
      <c r="G48" s="26">
        <f>IFERROR('Data Sheet'!F58,0)</f>
        <v>7796.13</v>
      </c>
      <c r="H48" s="26">
        <f>IFERROR('Data Sheet'!G58,0)</f>
        <v>9336.65</v>
      </c>
      <c r="I48" s="26">
        <f>IFERROR('Data Sheet'!H58,0)</f>
        <v>11453.67</v>
      </c>
      <c r="J48" s="26">
        <f>IFERROR('Data Sheet'!I58,0)</f>
        <v>13691.96</v>
      </c>
      <c r="K48" s="26">
        <f>IFERROR('Data Sheet'!J58,0)</f>
        <v>12496.29</v>
      </c>
      <c r="L48" s="26">
        <f>IFERROR('Data Sheet'!K58,0)</f>
        <v>11896.91</v>
      </c>
      <c r="M48" s="26"/>
    </row>
    <row r="49" spans="2:13" x14ac:dyDescent="0.35">
      <c r="B49" t="s">
        <v>21</v>
      </c>
      <c r="C49" s="26">
        <f>IFERROR('Data Sheet'!B59,0)</f>
        <v>2891.12</v>
      </c>
      <c r="D49" s="26">
        <f>IFERROR('Data Sheet'!C59,0)</f>
        <v>4000.93</v>
      </c>
      <c r="E49" s="26">
        <f>IFERROR('Data Sheet'!D59,0)</f>
        <v>3507.57</v>
      </c>
      <c r="F49" s="26">
        <f>IFERROR('Data Sheet'!E59,0)</f>
        <v>3382.05</v>
      </c>
      <c r="G49" s="26">
        <f>IFERROR('Data Sheet'!F59,0)</f>
        <v>3574.97</v>
      </c>
      <c r="H49" s="26">
        <f>IFERROR('Data Sheet'!G59,0)</f>
        <v>1863.97</v>
      </c>
      <c r="I49" s="26">
        <f>IFERROR('Data Sheet'!H59,0)</f>
        <v>1704.34</v>
      </c>
      <c r="J49" s="26">
        <f>IFERROR('Data Sheet'!I59,0)</f>
        <v>1129.58</v>
      </c>
      <c r="K49" s="26">
        <f>IFERROR('Data Sheet'!J59,0)</f>
        <v>3222.2</v>
      </c>
      <c r="L49" s="26">
        <f>IFERROR('Data Sheet'!K59,0)</f>
        <v>4009.2</v>
      </c>
      <c r="M49" s="26"/>
    </row>
    <row r="50" spans="2:13" x14ac:dyDescent="0.35">
      <c r="B50" t="s">
        <v>20</v>
      </c>
      <c r="C50" s="26">
        <f>IFERROR('Data Sheet'!B60,0)</f>
        <v>2520.66</v>
      </c>
      <c r="D50" s="26">
        <f>IFERROR('Data Sheet'!C60,0)</f>
        <v>3637.37</v>
      </c>
      <c r="E50" s="26">
        <f>IFERROR('Data Sheet'!D60,0)</f>
        <v>4097.8900000000003</v>
      </c>
      <c r="F50" s="26">
        <f>IFERROR('Data Sheet'!E60,0)</f>
        <v>3444.58</v>
      </c>
      <c r="G50" s="26">
        <f>IFERROR('Data Sheet'!F60,0)</f>
        <v>3406.95</v>
      </c>
      <c r="H50" s="26">
        <f>IFERROR('Data Sheet'!G60,0)</f>
        <v>2940.92</v>
      </c>
      <c r="I50" s="26">
        <f>IFERROR('Data Sheet'!H60,0)</f>
        <v>2821.85</v>
      </c>
      <c r="J50" s="26">
        <f>IFERROR('Data Sheet'!I60,0)</f>
        <v>2513.4499999999998</v>
      </c>
      <c r="K50" s="26">
        <f>IFERROR('Data Sheet'!J60,0)</f>
        <v>2571.31</v>
      </c>
      <c r="L50" s="26">
        <f>IFERROR('Data Sheet'!K60,0)</f>
        <v>3289.09</v>
      </c>
      <c r="M50" s="26"/>
    </row>
    <row r="51" spans="2:13" x14ac:dyDescent="0.35">
      <c r="B51" s="11" t="s">
        <v>107</v>
      </c>
      <c r="C51" s="29">
        <f>IFERROR('Data Sheet'!B61,0)</f>
        <v>9678.74</v>
      </c>
      <c r="D51" s="29">
        <f>IFERROR('Data Sheet'!C61,0)</f>
        <v>12940.25</v>
      </c>
      <c r="E51" s="29">
        <f>IFERROR('Data Sheet'!D61,0)</f>
        <v>13863.77</v>
      </c>
      <c r="F51" s="29">
        <f>IFERROR('Data Sheet'!E61,0)</f>
        <v>14093.55</v>
      </c>
      <c r="G51" s="29">
        <f>IFERROR('Data Sheet'!F61,0)</f>
        <v>14880.28</v>
      </c>
      <c r="H51" s="29">
        <f>IFERROR('Data Sheet'!G61,0)</f>
        <v>14243.79</v>
      </c>
      <c r="I51" s="29">
        <f>IFERROR('Data Sheet'!H61,0)</f>
        <v>16082.12</v>
      </c>
      <c r="J51" s="29">
        <f>IFERROR('Data Sheet'!I61,0)</f>
        <v>17437.259999999998</v>
      </c>
      <c r="K51" s="29">
        <f>IFERROR('Data Sheet'!J61,0)</f>
        <v>18392.080000000002</v>
      </c>
      <c r="L51" s="29">
        <f>IFERROR('Data Sheet'!K61,0)</f>
        <v>19297.5</v>
      </c>
      <c r="M51" s="26"/>
    </row>
    <row r="52" spans="2:13" x14ac:dyDescent="0.35"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35">
      <c r="B53" t="s">
        <v>108</v>
      </c>
      <c r="C53" s="26">
        <f>IFERROR('Data Sheet'!B62,0)</f>
        <v>5931.41</v>
      </c>
      <c r="D53" s="26">
        <f>IFERROR('Data Sheet'!C62,0)</f>
        <v>8082.89</v>
      </c>
      <c r="E53" s="26">
        <f>IFERROR('Data Sheet'!D62,0)</f>
        <v>8315</v>
      </c>
      <c r="F53" s="26">
        <f>IFERROR('Data Sheet'!E62,0)</f>
        <v>8670.26</v>
      </c>
      <c r="G53" s="26">
        <f>IFERROR('Data Sheet'!F62,0)</f>
        <v>9231.4</v>
      </c>
      <c r="H53" s="26">
        <f>IFERROR('Data Sheet'!G62,0)</f>
        <v>8904.77</v>
      </c>
      <c r="I53" s="26">
        <f>IFERROR('Data Sheet'!H62,0)</f>
        <v>9219.2999999999993</v>
      </c>
      <c r="J53" s="26">
        <f>IFERROR('Data Sheet'!I62,0)</f>
        <v>9933.66</v>
      </c>
      <c r="K53" s="26">
        <f>IFERROR('Data Sheet'!J62,0)</f>
        <v>10440.24</v>
      </c>
      <c r="L53" s="26">
        <f>IFERROR('Data Sheet'!K62,0)</f>
        <v>10676.19</v>
      </c>
      <c r="M53" s="26"/>
    </row>
    <row r="54" spans="2:13" x14ac:dyDescent="0.35">
      <c r="B54" t="s">
        <v>18</v>
      </c>
      <c r="C54" s="26">
        <f>IFERROR('Data Sheet'!B63,0)</f>
        <v>43.66</v>
      </c>
      <c r="D54" s="26">
        <f>IFERROR('Data Sheet'!C63,0)</f>
        <v>97.43</v>
      </c>
      <c r="E54" s="26">
        <f>IFERROR('Data Sheet'!D63,0)</f>
        <v>83.88</v>
      </c>
      <c r="F54" s="26">
        <f>IFERROR('Data Sheet'!E63,0)</f>
        <v>52.06</v>
      </c>
      <c r="G54" s="26">
        <f>IFERROR('Data Sheet'!F63,0)</f>
        <v>57.04</v>
      </c>
      <c r="H54" s="26">
        <f>IFERROR('Data Sheet'!G63,0)</f>
        <v>57.43</v>
      </c>
      <c r="I54" s="26">
        <f>IFERROR('Data Sheet'!H63,0)</f>
        <v>116.44</v>
      </c>
      <c r="J54" s="26">
        <f>IFERROR('Data Sheet'!I63,0)</f>
        <v>45.42</v>
      </c>
      <c r="K54" s="26">
        <f>IFERROR('Data Sheet'!J63,0)</f>
        <v>83.36</v>
      </c>
      <c r="L54" s="26">
        <f>IFERROR('Data Sheet'!K63,0)</f>
        <v>463.64</v>
      </c>
      <c r="M54" s="26"/>
    </row>
    <row r="55" spans="2:13" x14ac:dyDescent="0.35">
      <c r="B55" t="s">
        <v>17</v>
      </c>
      <c r="C55" s="26">
        <f>IFERROR('Data Sheet'!B64,0)</f>
        <v>189.5</v>
      </c>
      <c r="D55" s="26">
        <f>IFERROR('Data Sheet'!C64,0)</f>
        <v>933.54</v>
      </c>
      <c r="E55" s="26">
        <f>IFERROR('Data Sheet'!D64,0)</f>
        <v>997.28</v>
      </c>
      <c r="F55" s="26">
        <f>IFERROR('Data Sheet'!E64,0)</f>
        <v>515.98</v>
      </c>
      <c r="G55" s="26">
        <f>IFERROR('Data Sheet'!F64,0)</f>
        <v>671.98</v>
      </c>
      <c r="H55" s="26">
        <f>IFERROR('Data Sheet'!G64,0)</f>
        <v>679.1</v>
      </c>
      <c r="I55" s="26">
        <f>IFERROR('Data Sheet'!H64,0)</f>
        <v>1015.43</v>
      </c>
      <c r="J55" s="26">
        <f>IFERROR('Data Sheet'!I64,0)</f>
        <v>3028.98</v>
      </c>
      <c r="K55" s="26">
        <f>IFERROR('Data Sheet'!J64,0)</f>
        <v>3503.67</v>
      </c>
      <c r="L55" s="26">
        <f>IFERROR('Data Sheet'!K64,0)</f>
        <v>3644.58</v>
      </c>
      <c r="M55" s="26"/>
    </row>
    <row r="56" spans="2:13" x14ac:dyDescent="0.35">
      <c r="B56" t="s">
        <v>16</v>
      </c>
      <c r="C56" s="26">
        <f>IFERROR('Data Sheet'!B65-SUM('Data Sheet'!B67:B69),0)</f>
        <v>335.39000000000033</v>
      </c>
      <c r="D56" s="26">
        <f>IFERROR('Data Sheet'!C65-SUM('Data Sheet'!C67:C69),0)</f>
        <v>472.49000000000024</v>
      </c>
      <c r="E56" s="26">
        <f>IFERROR('Data Sheet'!D65-SUM('Data Sheet'!D67:D69),0)</f>
        <v>684.17999999999938</v>
      </c>
      <c r="F56" s="26">
        <f>IFERROR('Data Sheet'!E65-SUM('Data Sheet'!E67:E69),0)</f>
        <v>1109.04</v>
      </c>
      <c r="G56" s="26">
        <f>IFERROR('Data Sheet'!F65-SUM('Data Sheet'!F67:F69),0)</f>
        <v>1289.33</v>
      </c>
      <c r="H56" s="26">
        <f>IFERROR('Data Sheet'!G65-SUM('Data Sheet'!G67:G69),0)</f>
        <v>1209.5299999999997</v>
      </c>
      <c r="I56" s="26">
        <f>IFERROR('Data Sheet'!H65-SUM('Data Sheet'!H67:H69),0)</f>
        <v>1377.0099999999993</v>
      </c>
      <c r="J56" s="26">
        <f>IFERROR('Data Sheet'!I65-SUM('Data Sheet'!I67:I69),0)</f>
        <v>1256.0499999999993</v>
      </c>
      <c r="K56" s="26">
        <f>IFERROR('Data Sheet'!J65-SUM('Data Sheet'!J67:J69),0)</f>
        <v>1011.5800000000004</v>
      </c>
      <c r="L56" s="26">
        <f>IFERROR('Data Sheet'!K65-SUM('Data Sheet'!K67:K69),0)</f>
        <v>792.30000000000018</v>
      </c>
      <c r="M56" s="26"/>
    </row>
    <row r="57" spans="2:13" x14ac:dyDescent="0.35">
      <c r="B57" s="11" t="s">
        <v>109</v>
      </c>
      <c r="C57" s="29">
        <f>SUM(C53:C56)</f>
        <v>6499.96</v>
      </c>
      <c r="D57" s="29">
        <f t="shared" ref="D57:L57" si="17">SUM(D53:D56)</f>
        <v>9586.35</v>
      </c>
      <c r="E57" s="29">
        <f t="shared" si="17"/>
        <v>10080.34</v>
      </c>
      <c r="F57" s="29">
        <f t="shared" si="17"/>
        <v>10347.34</v>
      </c>
      <c r="G57" s="29">
        <f t="shared" si="17"/>
        <v>11249.75</v>
      </c>
      <c r="H57" s="29">
        <f t="shared" si="17"/>
        <v>10850.830000000002</v>
      </c>
      <c r="I57" s="29">
        <f t="shared" si="17"/>
        <v>11728.18</v>
      </c>
      <c r="J57" s="29">
        <f t="shared" si="17"/>
        <v>14264.109999999999</v>
      </c>
      <c r="K57" s="29">
        <f t="shared" si="17"/>
        <v>15038.85</v>
      </c>
      <c r="L57" s="29">
        <f t="shared" si="17"/>
        <v>15576.71</v>
      </c>
      <c r="M57" s="26"/>
    </row>
    <row r="58" spans="2:13" x14ac:dyDescent="0.35"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x14ac:dyDescent="0.35">
      <c r="B59" t="s">
        <v>14</v>
      </c>
      <c r="C59" s="26">
        <f>IFERROR('Data Sheet'!B67,0)</f>
        <v>1118.01</v>
      </c>
      <c r="D59" s="26">
        <f>IFERROR('Data Sheet'!C67,0)</f>
        <v>1028.74</v>
      </c>
      <c r="E59" s="26">
        <f>IFERROR('Data Sheet'!D67,0)</f>
        <v>1245.5</v>
      </c>
      <c r="F59" s="26">
        <f>IFERROR('Data Sheet'!E67,0)</f>
        <v>1292.9000000000001</v>
      </c>
      <c r="G59" s="26">
        <f>IFERROR('Data Sheet'!F67,0)</f>
        <v>1157.25</v>
      </c>
      <c r="H59" s="26">
        <f>IFERROR('Data Sheet'!G67,0)</f>
        <v>1004.5</v>
      </c>
      <c r="I59" s="26">
        <f>IFERROR('Data Sheet'!H67,0)</f>
        <v>1116.32</v>
      </c>
      <c r="J59" s="26">
        <f>IFERROR('Data Sheet'!I67,0)</f>
        <v>1245.28</v>
      </c>
      <c r="K59" s="26">
        <f>IFERROR('Data Sheet'!J67,0)</f>
        <v>1535.37</v>
      </c>
      <c r="L59" s="26">
        <f>IFERROR('Data Sheet'!K67,0)</f>
        <v>1819.13</v>
      </c>
      <c r="M59" s="26"/>
    </row>
    <row r="60" spans="2:13" x14ac:dyDescent="0.35">
      <c r="B60" t="s">
        <v>13</v>
      </c>
      <c r="C60" s="26">
        <f>IFERROR('Data Sheet'!B68,0)</f>
        <v>1306.98</v>
      </c>
      <c r="D60" s="26">
        <f>IFERROR('Data Sheet'!C68,0)</f>
        <v>1412.5</v>
      </c>
      <c r="E60" s="26">
        <f>IFERROR('Data Sheet'!D68,0)</f>
        <v>1577.72</v>
      </c>
      <c r="F60" s="26">
        <f>IFERROR('Data Sheet'!E68,0)</f>
        <v>1558.59</v>
      </c>
      <c r="G60" s="26">
        <f>IFERROR('Data Sheet'!F68,0)</f>
        <v>1703.12</v>
      </c>
      <c r="H60" s="26">
        <f>IFERROR('Data Sheet'!G68,0)</f>
        <v>1716.25</v>
      </c>
      <c r="I60" s="26">
        <f>IFERROR('Data Sheet'!H68,0)</f>
        <v>2129.85</v>
      </c>
      <c r="J60" s="26">
        <f>IFERROR('Data Sheet'!I68,0)</f>
        <v>1537.15</v>
      </c>
      <c r="K60" s="26">
        <f>IFERROR('Data Sheet'!J68,0)</f>
        <v>1270.92</v>
      </c>
      <c r="L60" s="26">
        <f>IFERROR('Data Sheet'!K68,0)</f>
        <v>1418.6</v>
      </c>
      <c r="M60" s="26"/>
    </row>
    <row r="61" spans="2:13" x14ac:dyDescent="0.35">
      <c r="B61" t="s">
        <v>12</v>
      </c>
      <c r="C61" s="26">
        <f>IFERROR('Data Sheet'!B69,0)</f>
        <v>753.79</v>
      </c>
      <c r="D61" s="26">
        <f>IFERROR('Data Sheet'!C69,0)</f>
        <v>912.66</v>
      </c>
      <c r="E61" s="26">
        <f>IFERROR('Data Sheet'!D69,0)</f>
        <v>960.21</v>
      </c>
      <c r="F61" s="26">
        <f>IFERROR('Data Sheet'!E69,0)</f>
        <v>894.72</v>
      </c>
      <c r="G61" s="26">
        <f>IFERROR('Data Sheet'!F69,0)</f>
        <v>770.16</v>
      </c>
      <c r="H61" s="26">
        <f>IFERROR('Data Sheet'!G69,0)</f>
        <v>672.21</v>
      </c>
      <c r="I61" s="26">
        <f>IFERROR('Data Sheet'!H69,0)</f>
        <v>1107.77</v>
      </c>
      <c r="J61" s="26">
        <f>IFERROR('Data Sheet'!I69,0)</f>
        <v>390.72</v>
      </c>
      <c r="K61" s="26">
        <f>IFERROR('Data Sheet'!J69,0)</f>
        <v>546.94000000000005</v>
      </c>
      <c r="L61" s="26">
        <f>IFERROR('Data Sheet'!K69,0)</f>
        <v>483.06</v>
      </c>
      <c r="M61" s="26"/>
    </row>
    <row r="62" spans="2:13" x14ac:dyDescent="0.35">
      <c r="B62" s="11" t="s">
        <v>110</v>
      </c>
      <c r="C62" s="29">
        <f>IFERROR(SUM(C59:C61),0)</f>
        <v>3178.7799999999997</v>
      </c>
      <c r="D62" s="29">
        <f t="shared" ref="D62:L62" si="18">IFERROR(SUM(D59:D61),0)</f>
        <v>3353.8999999999996</v>
      </c>
      <c r="E62" s="29">
        <f t="shared" si="18"/>
        <v>3783.4300000000003</v>
      </c>
      <c r="F62" s="29">
        <f t="shared" si="18"/>
        <v>3746.21</v>
      </c>
      <c r="G62" s="29">
        <f t="shared" si="18"/>
        <v>3630.5299999999997</v>
      </c>
      <c r="H62" s="29">
        <f t="shared" si="18"/>
        <v>3392.96</v>
      </c>
      <c r="I62" s="29">
        <f t="shared" si="18"/>
        <v>4353.9400000000005</v>
      </c>
      <c r="J62" s="29">
        <f t="shared" si="18"/>
        <v>3173.1500000000005</v>
      </c>
      <c r="K62" s="29">
        <f t="shared" si="18"/>
        <v>3353.23</v>
      </c>
      <c r="L62" s="29">
        <f t="shared" si="18"/>
        <v>3720.79</v>
      </c>
      <c r="M62" s="26"/>
    </row>
    <row r="63" spans="2:13" x14ac:dyDescent="0.35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</row>
    <row r="64" spans="2:13" x14ac:dyDescent="0.35">
      <c r="B64" s="11" t="s">
        <v>111</v>
      </c>
      <c r="C64" s="29">
        <f>IFERROR(SUM(C57+C62),0)</f>
        <v>9678.74</v>
      </c>
      <c r="D64" s="29">
        <f t="shared" ref="D64:L64" si="19">IFERROR(SUM(D57+D62),0)</f>
        <v>12940.25</v>
      </c>
      <c r="E64" s="29">
        <f t="shared" si="19"/>
        <v>13863.77</v>
      </c>
      <c r="F64" s="29">
        <f t="shared" si="19"/>
        <v>14093.55</v>
      </c>
      <c r="G64" s="29">
        <f t="shared" si="19"/>
        <v>14880.279999999999</v>
      </c>
      <c r="H64" s="29">
        <f t="shared" si="19"/>
        <v>14243.79</v>
      </c>
      <c r="I64" s="29">
        <f t="shared" si="19"/>
        <v>16082.12</v>
      </c>
      <c r="J64" s="29">
        <f t="shared" si="19"/>
        <v>17437.259999999998</v>
      </c>
      <c r="K64" s="29">
        <f t="shared" si="19"/>
        <v>18392.080000000002</v>
      </c>
      <c r="L64" s="29">
        <f t="shared" si="19"/>
        <v>19297.5</v>
      </c>
      <c r="M64" s="26"/>
    </row>
    <row r="66" spans="1:13" x14ac:dyDescent="0.35">
      <c r="B66" s="20" t="s">
        <v>112</v>
      </c>
      <c r="C66" t="b">
        <f>C64=C51</f>
        <v>1</v>
      </c>
      <c r="D66" t="b">
        <f t="shared" ref="D66:L66" si="20">D64=D51</f>
        <v>1</v>
      </c>
      <c r="E66" t="b">
        <f t="shared" si="20"/>
        <v>1</v>
      </c>
      <c r="F66" t="b">
        <f t="shared" si="20"/>
        <v>1</v>
      </c>
      <c r="G66" t="b">
        <f t="shared" si="20"/>
        <v>1</v>
      </c>
      <c r="H66" t="b">
        <f t="shared" si="20"/>
        <v>1</v>
      </c>
      <c r="I66" t="b">
        <f t="shared" si="20"/>
        <v>1</v>
      </c>
      <c r="J66" t="b">
        <f t="shared" si="20"/>
        <v>1</v>
      </c>
      <c r="K66" t="b">
        <f t="shared" si="20"/>
        <v>1</v>
      </c>
      <c r="L66" t="b">
        <f t="shared" si="20"/>
        <v>1</v>
      </c>
    </row>
    <row r="68" spans="1:13" x14ac:dyDescent="0.35">
      <c r="A68" t="s">
        <v>83</v>
      </c>
      <c r="B68" s="14" t="s">
        <v>113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70" spans="1:13" x14ac:dyDescent="0.35">
      <c r="B70" s="11" t="s">
        <v>114</v>
      </c>
    </row>
    <row r="71" spans="1:13" x14ac:dyDescent="0.35">
      <c r="B71" t="s">
        <v>55</v>
      </c>
      <c r="C71" s="26">
        <f>IFERROR('cashflow data set '!E5,0)</f>
        <v>1669</v>
      </c>
      <c r="D71" s="26">
        <f>IFERROR('cashflow data set '!F5,0)</f>
        <v>1947</v>
      </c>
      <c r="E71" s="26">
        <f>IFERROR('cashflow data set '!G5,0)</f>
        <v>2147</v>
      </c>
      <c r="F71" s="26">
        <f>IFERROR('cashflow data set '!H5,0)</f>
        <v>2181</v>
      </c>
      <c r="G71" s="26">
        <f>IFERROR('cashflow data set '!I5,0)</f>
        <v>2185</v>
      </c>
      <c r="H71" s="26">
        <f>IFERROR('cashflow data set '!J5,0)</f>
        <v>2472</v>
      </c>
      <c r="I71" s="26">
        <f>IFERROR('cashflow data set '!K5,0)</f>
        <v>2434</v>
      </c>
      <c r="J71" s="26">
        <f>IFERROR('cashflow data set '!L5,0)</f>
        <v>2476</v>
      </c>
      <c r="K71" s="26">
        <f>IFERROR('cashflow data set '!M5,0)</f>
        <v>2900</v>
      </c>
      <c r="L71" s="26">
        <f>IFERROR('cashflow data set '!N5,0)</f>
        <v>3012</v>
      </c>
    </row>
    <row r="72" spans="1:13" x14ac:dyDescent="0.35">
      <c r="B72" t="s">
        <v>14</v>
      </c>
      <c r="C72" s="26">
        <f>IFERROR('cashflow data set '!E6,0)</f>
        <v>-323</v>
      </c>
      <c r="D72" s="26">
        <f>IFERROR('cashflow data set '!F6,0)</f>
        <v>166</v>
      </c>
      <c r="E72" s="26">
        <f>IFERROR('cashflow data set '!G6,0)</f>
        <v>-245</v>
      </c>
      <c r="F72" s="26">
        <f>IFERROR('cashflow data set '!H6,0)</f>
        <v>-174</v>
      </c>
      <c r="G72" s="26">
        <f>IFERROR('cashflow data set '!I6,0)</f>
        <v>130</v>
      </c>
      <c r="H72" s="26">
        <f>IFERROR('cashflow data set '!J6,0)</f>
        <v>81</v>
      </c>
      <c r="I72" s="26">
        <f>IFERROR('cashflow data set '!K6,0)</f>
        <v>-89</v>
      </c>
      <c r="J72" s="26">
        <f>IFERROR('cashflow data set '!L6,0)</f>
        <v>-165</v>
      </c>
      <c r="K72" s="26">
        <f>IFERROR('cashflow data set '!M6,0)</f>
        <v>-479</v>
      </c>
      <c r="L72" s="26">
        <f>IFERROR('cashflow data set '!N6,0)</f>
        <v>-305</v>
      </c>
    </row>
    <row r="73" spans="1:13" x14ac:dyDescent="0.35">
      <c r="B73" t="s">
        <v>13</v>
      </c>
      <c r="C73" s="26">
        <f>IFERROR('cashflow data set '!E7,0)</f>
        <v>-235</v>
      </c>
      <c r="D73" s="26">
        <f>IFERROR('cashflow data set '!F7,0)</f>
        <v>46</v>
      </c>
      <c r="E73" s="26">
        <f>IFERROR('cashflow data set '!G7,0)</f>
        <v>-165</v>
      </c>
      <c r="F73" s="26">
        <f>IFERROR('cashflow data set '!H7,0)</f>
        <v>-20</v>
      </c>
      <c r="G73" s="26">
        <f>IFERROR('cashflow data set '!I7,0)</f>
        <v>-169</v>
      </c>
      <c r="H73" s="26">
        <f>IFERROR('cashflow data set '!J7,0)</f>
        <v>-70</v>
      </c>
      <c r="I73" s="26">
        <f>IFERROR('cashflow data set '!K7,0)</f>
        <v>-384</v>
      </c>
      <c r="J73" s="26">
        <f>IFERROR('cashflow data set '!L7,0)</f>
        <v>555</v>
      </c>
      <c r="K73" s="26">
        <f>IFERROR('cashflow data set '!M7,0)</f>
        <v>-71</v>
      </c>
      <c r="L73" s="26">
        <f>IFERROR('cashflow data set '!N7,0)</f>
        <v>-159</v>
      </c>
    </row>
    <row r="74" spans="1:13" x14ac:dyDescent="0.35">
      <c r="B74" t="s">
        <v>56</v>
      </c>
      <c r="C74" s="26">
        <f>IFERROR('cashflow data set '!E8,0)</f>
        <v>17</v>
      </c>
      <c r="D74" s="26">
        <f>IFERROR('cashflow data set '!F8,0)</f>
        <v>196</v>
      </c>
      <c r="E74" s="26">
        <f>IFERROR('cashflow data set '!G8,0)</f>
        <v>613</v>
      </c>
      <c r="F74" s="26">
        <f>IFERROR('cashflow data set '!H8,0)</f>
        <v>274</v>
      </c>
      <c r="G74" s="26">
        <f>IFERROR('cashflow data set '!I8,0)</f>
        <v>-95</v>
      </c>
      <c r="H74" s="26">
        <f>IFERROR('cashflow data set '!J8,0)</f>
        <v>-473</v>
      </c>
      <c r="I74" s="26">
        <f>IFERROR('cashflow data set '!K8,0)</f>
        <v>83</v>
      </c>
      <c r="J74" s="26">
        <f>IFERROR('cashflow data set '!L8,0)</f>
        <v>-370</v>
      </c>
      <c r="K74" s="26">
        <f>IFERROR('cashflow data set '!M8,0)</f>
        <v>91</v>
      </c>
      <c r="L74" s="26">
        <f>IFERROR('cashflow data set '!N8,0)</f>
        <v>514</v>
      </c>
    </row>
    <row r="75" spans="1:13" x14ac:dyDescent="0.35">
      <c r="B75" t="s">
        <v>57</v>
      </c>
      <c r="C75" s="26">
        <f>IFERROR('cashflow data set '!E9,0)</f>
        <v>1</v>
      </c>
      <c r="D75" s="26">
        <f>IFERROR('cashflow data set '!F9,0)</f>
        <v>-3</v>
      </c>
      <c r="E75" s="26">
        <f>IFERROR('cashflow data set '!G9,0)</f>
        <v>1</v>
      </c>
      <c r="F75" s="26">
        <f>IFERROR('cashflow data set '!H9,0)</f>
        <v>-1</v>
      </c>
      <c r="G75" s="26">
        <f>IFERROR('cashflow data set '!I9,0)</f>
        <v>-3</v>
      </c>
      <c r="H75" s="26">
        <f>IFERROR('cashflow data set '!J9,0)</f>
        <v>1</v>
      </c>
      <c r="I75" s="26">
        <f>IFERROR('cashflow data set '!K9,0)</f>
        <v>0</v>
      </c>
      <c r="J75" s="26">
        <f>IFERROR('cashflow data set '!L9,0)</f>
        <v>0</v>
      </c>
      <c r="K75" s="26">
        <f>IFERROR('cashflow data set '!M9,0)</f>
        <v>0</v>
      </c>
      <c r="L75" s="26">
        <f>IFERROR('cashflow data set '!N9,0)</f>
        <v>0</v>
      </c>
    </row>
    <row r="76" spans="1:13" x14ac:dyDescent="0.35">
      <c r="B76" t="s">
        <v>58</v>
      </c>
      <c r="C76" s="26">
        <f>IFERROR('cashflow data set '!E10,0)</f>
        <v>75</v>
      </c>
      <c r="D76" s="26">
        <f>IFERROR('cashflow data set '!F10,0)</f>
        <v>-65</v>
      </c>
      <c r="E76" s="26">
        <f>IFERROR('cashflow data set '!G10,0)</f>
        <v>-219</v>
      </c>
      <c r="F76" s="26">
        <f>IFERROR('cashflow data set '!H10,0)</f>
        <v>-79</v>
      </c>
      <c r="G76" s="26">
        <f>IFERROR('cashflow data set '!I10,0)</f>
        <v>-116</v>
      </c>
      <c r="H76" s="26">
        <f>IFERROR('cashflow data set '!J10,0)</f>
        <v>416</v>
      </c>
      <c r="I76" s="26">
        <f>IFERROR('cashflow data set '!K10,0)</f>
        <v>-146</v>
      </c>
      <c r="J76" s="26">
        <f>IFERROR('cashflow data set '!L10,0)</f>
        <v>74</v>
      </c>
      <c r="K76" s="26">
        <f>IFERROR('cashflow data set '!M10,0)</f>
        <v>3</v>
      </c>
      <c r="L76" s="26">
        <f>IFERROR('cashflow data set '!N10,0)</f>
        <v>-15</v>
      </c>
    </row>
    <row r="77" spans="1:13" x14ac:dyDescent="0.35">
      <c r="B77" t="s">
        <v>60</v>
      </c>
      <c r="C77" s="26">
        <f>IFERROR('cashflow data set '!E12,0)</f>
        <v>-336</v>
      </c>
      <c r="D77" s="26">
        <f>IFERROR('cashflow data set '!F12,0)</f>
        <v>-407</v>
      </c>
      <c r="E77" s="26">
        <f>IFERROR('cashflow data set '!G12,0)</f>
        <v>-393</v>
      </c>
      <c r="F77" s="26">
        <f>IFERROR('cashflow data set '!H12,0)</f>
        <v>-435</v>
      </c>
      <c r="G77" s="26">
        <f>IFERROR('cashflow data set '!I12,0)</f>
        <v>-344</v>
      </c>
      <c r="H77" s="26">
        <f>IFERROR('cashflow data set '!J12,0)</f>
        <v>-397</v>
      </c>
      <c r="I77" s="26">
        <f>IFERROR('cashflow data set '!K12,0)</f>
        <v>-448</v>
      </c>
      <c r="J77" s="26">
        <f>IFERROR('cashflow data set '!L12,0)</f>
        <v>-418</v>
      </c>
      <c r="K77" s="26">
        <f>IFERROR('cashflow data set '!M12,0)</f>
        <v>-374</v>
      </c>
      <c r="L77" s="26">
        <f>IFERROR('cashflow data set '!N12,0)</f>
        <v>-470</v>
      </c>
    </row>
    <row r="78" spans="1:13" x14ac:dyDescent="0.35">
      <c r="B78" t="s">
        <v>61</v>
      </c>
      <c r="C78" s="26">
        <f>IFERROR('cashflow data set '!E13,0)</f>
        <v>0</v>
      </c>
      <c r="D78" s="26">
        <f>IFERROR('cashflow data set '!F13,0)</f>
        <v>-20</v>
      </c>
      <c r="E78" s="26">
        <f>IFERROR('cashflow data set '!G13,0)</f>
        <v>-15</v>
      </c>
      <c r="F78" s="26">
        <f>IFERROR('cashflow data set '!H13,0)</f>
        <v>-18</v>
      </c>
      <c r="G78" s="26">
        <f>IFERROR('cashflow data set '!I13,0)</f>
        <v>0</v>
      </c>
      <c r="H78" s="26">
        <f>IFERROR('cashflow data set '!J13,0)</f>
        <v>0</v>
      </c>
      <c r="I78" s="26">
        <f>IFERROR('cashflow data set '!K13,0)</f>
        <v>0</v>
      </c>
      <c r="J78" s="26">
        <f>IFERROR('cashflow data set '!L13,0)</f>
        <v>0</v>
      </c>
      <c r="K78" s="26">
        <f>IFERROR('cashflow data set '!M13,0)</f>
        <v>0</v>
      </c>
      <c r="L78" s="26">
        <f>IFERROR('cashflow data set '!N13,0)</f>
        <v>0</v>
      </c>
    </row>
    <row r="79" spans="1:13" x14ac:dyDescent="0.35">
      <c r="B79" t="s">
        <v>62</v>
      </c>
      <c r="C79" s="26">
        <f>IFERROR('cashflow data set '!E14,0)</f>
        <v>-21</v>
      </c>
      <c r="D79" s="26">
        <f>IFERROR('cashflow data set '!F14,0)</f>
        <v>0</v>
      </c>
      <c r="E79" s="26">
        <f>IFERROR('cashflow data set '!G14,0)</f>
        <v>0</v>
      </c>
      <c r="F79" s="26">
        <f>IFERROR('cashflow data set '!H14,0)</f>
        <v>0</v>
      </c>
      <c r="G79" s="26">
        <f>IFERROR('cashflow data set '!I14,0)</f>
        <v>0</v>
      </c>
      <c r="H79" s="26">
        <f>IFERROR('cashflow data set '!J14,0)</f>
        <v>0</v>
      </c>
      <c r="I79" s="26">
        <f>IFERROR('cashflow data set '!K14,0)</f>
        <v>0</v>
      </c>
      <c r="J79" s="26">
        <f>IFERROR('cashflow data set '!L14,0)</f>
        <v>0</v>
      </c>
      <c r="K79" s="26">
        <f>IFERROR('cashflow data set '!M14,0)</f>
        <v>0</v>
      </c>
      <c r="L79" s="26">
        <f>IFERROR('cashflow data set '!N14,0)</f>
        <v>0</v>
      </c>
    </row>
    <row r="80" spans="1:13" x14ac:dyDescent="0.35">
      <c r="B80" s="11" t="s">
        <v>125</v>
      </c>
      <c r="C80" s="29">
        <f t="shared" ref="C80:L80" si="21">SUM(C71:C79)</f>
        <v>847</v>
      </c>
      <c r="D80" s="29">
        <f t="shared" si="21"/>
        <v>1860</v>
      </c>
      <c r="E80" s="29">
        <f t="shared" si="21"/>
        <v>1724</v>
      </c>
      <c r="F80" s="29">
        <f t="shared" si="21"/>
        <v>1728</v>
      </c>
      <c r="G80" s="29">
        <f t="shared" si="21"/>
        <v>1588</v>
      </c>
      <c r="H80" s="29">
        <f t="shared" si="21"/>
        <v>2030</v>
      </c>
      <c r="I80" s="29">
        <f t="shared" si="21"/>
        <v>1450</v>
      </c>
      <c r="J80" s="29">
        <f t="shared" si="21"/>
        <v>2152</v>
      </c>
      <c r="K80" s="29">
        <f t="shared" si="21"/>
        <v>2070</v>
      </c>
      <c r="L80" s="29">
        <f t="shared" si="21"/>
        <v>2577</v>
      </c>
    </row>
    <row r="81" spans="2:12" x14ac:dyDescent="0.35"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spans="2:12" x14ac:dyDescent="0.35">
      <c r="B82" s="11" t="s">
        <v>115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2:12" x14ac:dyDescent="0.35">
      <c r="B83" t="s">
        <v>64</v>
      </c>
      <c r="C83" s="26">
        <f>IFERROR('cashflow data set '!E16,0)</f>
        <v>-208</v>
      </c>
      <c r="D83" s="26">
        <f>IFERROR('cashflow data set '!F16,0)</f>
        <v>-180</v>
      </c>
      <c r="E83" s="26">
        <f>IFERROR('cashflow data set '!G16,0)</f>
        <v>-311</v>
      </c>
      <c r="F83" s="26">
        <f>IFERROR('cashflow data set '!H16,0)</f>
        <v>-208</v>
      </c>
      <c r="G83" s="26">
        <f>IFERROR('cashflow data set '!I16,0)</f>
        <v>-152</v>
      </c>
      <c r="H83" s="26">
        <f>IFERROR('cashflow data set '!J16,0)</f>
        <v>-164</v>
      </c>
      <c r="I83" s="26">
        <f>IFERROR('cashflow data set '!K16,0)</f>
        <v>0</v>
      </c>
      <c r="J83" s="26">
        <f>IFERROR('cashflow data set '!L16,0)</f>
        <v>0</v>
      </c>
      <c r="K83" s="26">
        <f>IFERROR('cashflow data set '!M16,0)</f>
        <v>0</v>
      </c>
      <c r="L83" s="26">
        <f>IFERROR('cashflow data set '!N16,0)</f>
        <v>-599</v>
      </c>
    </row>
    <row r="84" spans="2:12" x14ac:dyDescent="0.35">
      <c r="B84" t="s">
        <v>65</v>
      </c>
      <c r="C84" s="26">
        <f>IFERROR('cashflow data set '!E17,0)</f>
        <v>0</v>
      </c>
      <c r="D84" s="26">
        <f>IFERROR('cashflow data set '!F17,0)</f>
        <v>0</v>
      </c>
      <c r="E84" s="26">
        <f>IFERROR('cashflow data set '!G17,0)</f>
        <v>0</v>
      </c>
      <c r="F84" s="26">
        <f>IFERROR('cashflow data set '!H17,0)</f>
        <v>0</v>
      </c>
      <c r="G84" s="26">
        <f>IFERROR('cashflow data set '!I17,0)</f>
        <v>0</v>
      </c>
      <c r="H84" s="26">
        <f>IFERROR('cashflow data set '!J17,0)</f>
        <v>0</v>
      </c>
      <c r="I84" s="26">
        <f>IFERROR('cashflow data set '!K17,0)</f>
        <v>3</v>
      </c>
      <c r="J84" s="26">
        <f>IFERROR('cashflow data set '!L17,0)</f>
        <v>8</v>
      </c>
      <c r="K84" s="26">
        <f>IFERROR('cashflow data set '!M17,0)</f>
        <v>31</v>
      </c>
      <c r="L84" s="26">
        <f>IFERROR('cashflow data set '!N17,0)</f>
        <v>40</v>
      </c>
    </row>
    <row r="85" spans="2:12" x14ac:dyDescent="0.35">
      <c r="B85" t="s">
        <v>66</v>
      </c>
      <c r="C85" s="26">
        <f>IFERROR('cashflow data set '!E18,0)</f>
        <v>0</v>
      </c>
      <c r="D85" s="26">
        <f>IFERROR('cashflow data set '!F18,0)</f>
        <v>-574</v>
      </c>
      <c r="E85" s="26">
        <f>IFERROR('cashflow data set '!G18,0)</f>
        <v>-309</v>
      </c>
      <c r="F85" s="26">
        <f>IFERROR('cashflow data set '!H18,0)</f>
        <v>0</v>
      </c>
      <c r="G85" s="26">
        <f>IFERROR('cashflow data set '!I18,0)</f>
        <v>0</v>
      </c>
      <c r="H85" s="26">
        <f>IFERROR('cashflow data set '!J18,0)</f>
        <v>-139</v>
      </c>
      <c r="I85" s="26">
        <f>IFERROR('cashflow data set '!K18,0)</f>
        <v>-452</v>
      </c>
      <c r="J85" s="26">
        <f>IFERROR('cashflow data set '!L18,0)</f>
        <v>-227</v>
      </c>
      <c r="K85" s="26">
        <f>IFERROR('cashflow data set '!M18,0)</f>
        <v>-307</v>
      </c>
      <c r="L85" s="26">
        <f>IFERROR('cashflow data set '!N18,0)</f>
        <v>-67</v>
      </c>
    </row>
    <row r="86" spans="2:12" x14ac:dyDescent="0.35">
      <c r="B86" t="s">
        <v>67</v>
      </c>
      <c r="C86" s="26">
        <f>IFERROR('cashflow data set '!E19,0)</f>
        <v>92</v>
      </c>
      <c r="D86" s="26">
        <f>IFERROR('cashflow data set '!F19,0)</f>
        <v>0</v>
      </c>
      <c r="E86" s="26">
        <f>IFERROR('cashflow data set '!G19,0)</f>
        <v>349</v>
      </c>
      <c r="F86" s="26">
        <f>IFERROR('cashflow data set '!H19,0)</f>
        <v>195</v>
      </c>
      <c r="G86" s="26">
        <f>IFERROR('cashflow data set '!I19,0)</f>
        <v>270</v>
      </c>
      <c r="H86" s="26">
        <f>IFERROR('cashflow data set '!J19,0)</f>
        <v>35</v>
      </c>
      <c r="I86" s="26">
        <f>IFERROR('cashflow data set '!K19,0)</f>
        <v>0</v>
      </c>
      <c r="J86" s="26">
        <f>IFERROR('cashflow data set '!L19,0)</f>
        <v>0</v>
      </c>
      <c r="K86" s="26">
        <f>IFERROR('cashflow data set '!M19,0)</f>
        <v>0</v>
      </c>
      <c r="L86" s="26">
        <f>IFERROR('cashflow data set '!N19,0)</f>
        <v>114</v>
      </c>
    </row>
    <row r="87" spans="2:12" x14ac:dyDescent="0.35">
      <c r="B87" t="s">
        <v>68</v>
      </c>
      <c r="C87" s="26">
        <f>IFERROR('cashflow data set '!E20,0)</f>
        <v>43</v>
      </c>
      <c r="D87" s="26">
        <f>IFERROR('cashflow data set '!F20,0)</f>
        <v>41</v>
      </c>
      <c r="E87" s="26">
        <f>IFERROR('cashflow data set '!G20,0)</f>
        <v>66</v>
      </c>
      <c r="F87" s="26">
        <f>IFERROR('cashflow data set '!H20,0)</f>
        <v>92</v>
      </c>
      <c r="G87" s="26">
        <f>IFERROR('cashflow data set '!I20,0)</f>
        <v>57</v>
      </c>
      <c r="H87" s="26">
        <f>IFERROR('cashflow data set '!J20,0)</f>
        <v>59</v>
      </c>
      <c r="I87" s="26">
        <f>IFERROR('cashflow data set '!K20,0)</f>
        <v>59</v>
      </c>
      <c r="J87" s="26">
        <f>IFERROR('cashflow data set '!L20,0)</f>
        <v>111</v>
      </c>
      <c r="K87" s="26">
        <f>IFERROR('cashflow data set '!M20,0)</f>
        <v>231</v>
      </c>
      <c r="L87" s="26">
        <f>IFERROR('cashflow data set '!N20,0)</f>
        <v>168</v>
      </c>
    </row>
    <row r="88" spans="2:12" x14ac:dyDescent="0.35">
      <c r="B88" t="s">
        <v>69</v>
      </c>
      <c r="C88" s="26">
        <f>IFERROR('cashflow data set '!E21,0)</f>
        <v>-647</v>
      </c>
      <c r="D88" s="26">
        <f>IFERROR('cashflow data set '!F21,0)</f>
        <v>0</v>
      </c>
      <c r="E88" s="26">
        <f>IFERROR('cashflow data set '!G21,0)</f>
        <v>0</v>
      </c>
      <c r="F88" s="26">
        <f>IFERROR('cashflow data set '!H21,0)</f>
        <v>0</v>
      </c>
      <c r="G88" s="26">
        <f>IFERROR('cashflow data set '!I21,0)</f>
        <v>0</v>
      </c>
      <c r="H88" s="26">
        <f>IFERROR('cashflow data set '!J21,0)</f>
        <v>0</v>
      </c>
      <c r="I88" s="26">
        <f>IFERROR('cashflow data set '!K21,0)</f>
        <v>0</v>
      </c>
      <c r="J88" s="26">
        <f>IFERROR('cashflow data set '!L21,0)</f>
        <v>0</v>
      </c>
      <c r="K88" s="26">
        <f>IFERROR('cashflow data set '!M21,0)</f>
        <v>0</v>
      </c>
      <c r="L88" s="26">
        <f>IFERROR('cashflow data set '!N21,0)</f>
        <v>0</v>
      </c>
    </row>
    <row r="89" spans="2:12" x14ac:dyDescent="0.35">
      <c r="B89" t="s">
        <v>70</v>
      </c>
      <c r="C89" s="26">
        <f>IFERROR('cashflow data set '!E22,0)</f>
        <v>0</v>
      </c>
      <c r="D89" s="26">
        <f>IFERROR('cashflow data set '!F22,0)</f>
        <v>0</v>
      </c>
      <c r="E89" s="26">
        <f>IFERROR('cashflow data set '!G22,0)</f>
        <v>0</v>
      </c>
      <c r="F89" s="26">
        <f>IFERROR('cashflow data set '!H22,0)</f>
        <v>0</v>
      </c>
      <c r="G89" s="26">
        <f>IFERROR('cashflow data set '!I22,0)</f>
        <v>0</v>
      </c>
      <c r="H89" s="26">
        <f>IFERROR('cashflow data set '!J22,0)</f>
        <v>0</v>
      </c>
      <c r="I89" s="26">
        <f>IFERROR('cashflow data set '!K22,0)</f>
        <v>0</v>
      </c>
      <c r="J89" s="26">
        <f>IFERROR('cashflow data set '!L22,0)</f>
        <v>0</v>
      </c>
      <c r="K89" s="26">
        <f>IFERROR('cashflow data set '!M22,0)</f>
        <v>0</v>
      </c>
      <c r="L89" s="26">
        <f>IFERROR('cashflow data set '!N22,0)</f>
        <v>0</v>
      </c>
    </row>
    <row r="90" spans="2:12" x14ac:dyDescent="0.35">
      <c r="B90" t="s">
        <v>71</v>
      </c>
      <c r="C90" s="26">
        <f>IFERROR('cashflow data set '!E23,0)</f>
        <v>0</v>
      </c>
      <c r="D90" s="26">
        <f>IFERROR('cashflow data set '!F23,0)</f>
        <v>0</v>
      </c>
      <c r="E90" s="26">
        <f>IFERROR('cashflow data set '!G23,0)</f>
        <v>0</v>
      </c>
      <c r="F90" s="26">
        <f>IFERROR('cashflow data set '!H23,0)</f>
        <v>0</v>
      </c>
      <c r="G90" s="26">
        <f>IFERROR('cashflow data set '!I23,0)</f>
        <v>0</v>
      </c>
      <c r="H90" s="26">
        <f>IFERROR('cashflow data set '!J23,0)</f>
        <v>0</v>
      </c>
      <c r="I90" s="26">
        <f>IFERROR('cashflow data set '!K23,0)</f>
        <v>0</v>
      </c>
      <c r="J90" s="26">
        <f>IFERROR('cashflow data set '!L23,0)</f>
        <v>0</v>
      </c>
      <c r="K90" s="26">
        <f>IFERROR('cashflow data set '!M23,0)</f>
        <v>372</v>
      </c>
      <c r="L90" s="26">
        <f>IFERROR('cashflow data set '!N23,0)</f>
        <v>0</v>
      </c>
    </row>
    <row r="91" spans="2:12" x14ac:dyDescent="0.35">
      <c r="B91" t="s">
        <v>72</v>
      </c>
      <c r="C91" s="26">
        <f>IFERROR('cashflow data set '!E24,0)</f>
        <v>0</v>
      </c>
      <c r="D91" s="26">
        <f>IFERROR('cashflow data set '!F24,0)</f>
        <v>-1431</v>
      </c>
      <c r="E91" s="26">
        <f>IFERROR('cashflow data set '!G24,0)</f>
        <v>0</v>
      </c>
      <c r="F91" s="26">
        <f>IFERROR('cashflow data set '!H24,0)</f>
        <v>0</v>
      </c>
      <c r="G91" s="26">
        <f>IFERROR('cashflow data set '!I24,0)</f>
        <v>0</v>
      </c>
      <c r="H91" s="26">
        <f>IFERROR('cashflow data set '!J24,0)</f>
        <v>0</v>
      </c>
      <c r="I91" s="26">
        <f>IFERROR('cashflow data set '!K24,0)</f>
        <v>-387</v>
      </c>
      <c r="J91" s="26">
        <f>IFERROR('cashflow data set '!L24,0)</f>
        <v>-988</v>
      </c>
      <c r="K91" s="26">
        <f>IFERROR('cashflow data set '!M24,0)</f>
        <v>0</v>
      </c>
      <c r="L91" s="26">
        <f>IFERROR('cashflow data set '!N24,0)</f>
        <v>0</v>
      </c>
    </row>
    <row r="92" spans="2:12" x14ac:dyDescent="0.35">
      <c r="B92" t="s">
        <v>73</v>
      </c>
      <c r="C92" s="26">
        <f>IFERROR('cashflow data set '!E25,0)</f>
        <v>99</v>
      </c>
      <c r="D92" s="26">
        <f>IFERROR('cashflow data set '!F25,0)</f>
        <v>-99</v>
      </c>
      <c r="E92" s="26">
        <f>IFERROR('cashflow data set '!G25,0)</f>
        <v>-131</v>
      </c>
      <c r="F92" s="26">
        <f>IFERROR('cashflow data set '!H25,0)</f>
        <v>195</v>
      </c>
      <c r="G92" s="26">
        <f>IFERROR('cashflow data set '!I25,0)</f>
        <v>-727</v>
      </c>
      <c r="H92" s="26">
        <f>IFERROR('cashflow data set '!J25,0)</f>
        <v>-84</v>
      </c>
      <c r="I92" s="26">
        <f>IFERROR('cashflow data set '!K25,0)</f>
        <v>-67</v>
      </c>
      <c r="J92" s="26">
        <f>IFERROR('cashflow data set '!L25,0)</f>
        <v>-658</v>
      </c>
      <c r="K92" s="26">
        <f>IFERROR('cashflow data set '!M25,0)</f>
        <v>-3762</v>
      </c>
      <c r="L92" s="26">
        <f>IFERROR('cashflow data set '!N25,0)</f>
        <v>0</v>
      </c>
    </row>
    <row r="93" spans="2:12" x14ac:dyDescent="0.35">
      <c r="B93" s="11" t="s">
        <v>116</v>
      </c>
      <c r="C93" s="29">
        <f>SUM(C83:C92)</f>
        <v>-621</v>
      </c>
      <c r="D93" s="29">
        <f t="shared" ref="D93:L93" si="22">SUM(D83:D92)</f>
        <v>-2243</v>
      </c>
      <c r="E93" s="29">
        <f t="shared" si="22"/>
        <v>-336</v>
      </c>
      <c r="F93" s="29">
        <f t="shared" si="22"/>
        <v>274</v>
      </c>
      <c r="G93" s="29">
        <f t="shared" si="22"/>
        <v>-552</v>
      </c>
      <c r="H93" s="29">
        <f t="shared" si="22"/>
        <v>-293</v>
      </c>
      <c r="I93" s="29">
        <f t="shared" si="22"/>
        <v>-844</v>
      </c>
      <c r="J93" s="29">
        <f t="shared" si="22"/>
        <v>-1754</v>
      </c>
      <c r="K93" s="29">
        <f t="shared" si="22"/>
        <v>-3435</v>
      </c>
      <c r="L93" s="29">
        <f t="shared" si="22"/>
        <v>-344</v>
      </c>
    </row>
    <row r="94" spans="2:12" x14ac:dyDescent="0.35"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spans="2:12" x14ac:dyDescent="0.35">
      <c r="B95" s="11" t="s">
        <v>117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spans="2:12" x14ac:dyDescent="0.35">
      <c r="B96" t="s">
        <v>75</v>
      </c>
      <c r="C96" s="26">
        <f>IFERROR('cashflow data set '!E27,0)</f>
        <v>0</v>
      </c>
      <c r="D96" s="26">
        <f>IFERROR('cashflow data set '!F27,0)</f>
        <v>0</v>
      </c>
      <c r="E96" s="26">
        <f>IFERROR('cashflow data set '!G27,0)</f>
        <v>0</v>
      </c>
      <c r="F96" s="26">
        <f>IFERROR('cashflow data set '!H27,0)</f>
        <v>0</v>
      </c>
      <c r="G96" s="26">
        <f>IFERROR('cashflow data set '!I27,0)</f>
        <v>0</v>
      </c>
      <c r="H96" s="26">
        <f>IFERROR('cashflow data set '!J27,0)</f>
        <v>0</v>
      </c>
      <c r="I96" s="26">
        <f>IFERROR('cashflow data set '!K27,0)</f>
        <v>0</v>
      </c>
      <c r="J96" s="26">
        <f>IFERROR('cashflow data set '!L27,0)</f>
        <v>0</v>
      </c>
      <c r="K96" s="26">
        <f>IFERROR('cashflow data set '!M27,0)</f>
        <v>0</v>
      </c>
      <c r="L96" s="26">
        <f>IFERROR('cashflow data set '!N27,0)</f>
        <v>0</v>
      </c>
    </row>
    <row r="97" spans="2:12" x14ac:dyDescent="0.35">
      <c r="B97" t="s">
        <v>76</v>
      </c>
      <c r="C97" s="26">
        <f>IFERROR('cashflow data set '!E28,0)</f>
        <v>-278</v>
      </c>
      <c r="D97" s="26">
        <f>IFERROR('cashflow data set '!F28,0)</f>
        <v>0</v>
      </c>
      <c r="E97" s="26">
        <f>IFERROR('cashflow data set '!G28,0)</f>
        <v>0</v>
      </c>
      <c r="F97" s="26">
        <f>IFERROR('cashflow data set '!H28,0)</f>
        <v>0</v>
      </c>
      <c r="G97" s="26">
        <f>IFERROR('cashflow data set '!I28,0)</f>
        <v>0</v>
      </c>
      <c r="H97" s="26">
        <f>IFERROR('cashflow data set '!J28,0)</f>
        <v>0</v>
      </c>
      <c r="I97" s="26">
        <f>IFERROR('cashflow data set '!K28,0)</f>
        <v>0</v>
      </c>
      <c r="J97" s="26">
        <f>IFERROR('cashflow data set '!L28,0)</f>
        <v>0</v>
      </c>
      <c r="K97" s="26">
        <f>IFERROR('cashflow data set '!M28,0)</f>
        <v>0</v>
      </c>
      <c r="L97" s="26">
        <f>IFERROR('cashflow data set '!N28,0)</f>
        <v>0</v>
      </c>
    </row>
    <row r="98" spans="2:12" x14ac:dyDescent="0.35">
      <c r="B98" t="s">
        <v>77</v>
      </c>
      <c r="C98" s="26">
        <f>IFERROR('cashflow data set '!E29,0)</f>
        <v>0</v>
      </c>
      <c r="D98" s="26">
        <f>IFERROR('cashflow data set '!F29,0)</f>
        <v>0</v>
      </c>
      <c r="E98" s="26">
        <f>IFERROR('cashflow data set '!G29,0)</f>
        <v>0</v>
      </c>
      <c r="F98" s="26">
        <f>IFERROR('cashflow data set '!H29,0)</f>
        <v>0</v>
      </c>
      <c r="G98" s="26">
        <f>IFERROR('cashflow data set '!I29,0)</f>
        <v>247</v>
      </c>
      <c r="H98" s="26">
        <f>IFERROR('cashflow data set '!J29,0)</f>
        <v>737</v>
      </c>
      <c r="I98" s="26">
        <f>IFERROR('cashflow data set '!K29,0)</f>
        <v>535</v>
      </c>
      <c r="J98" s="26">
        <f>IFERROR('cashflow data set '!L29,0)</f>
        <v>0</v>
      </c>
      <c r="K98" s="26">
        <f>IFERROR('cashflow data set '!M29,0)</f>
        <v>2681</v>
      </c>
      <c r="L98" s="26">
        <f>IFERROR('cashflow data set '!N29,0)</f>
        <v>732</v>
      </c>
    </row>
    <row r="99" spans="2:12" x14ac:dyDescent="0.35">
      <c r="B99" t="s">
        <v>78</v>
      </c>
      <c r="C99" s="26">
        <f>IFERROR('cashflow data set '!E30,0)</f>
        <v>0</v>
      </c>
      <c r="D99" s="26">
        <f>IFERROR('cashflow data set '!F30,0)</f>
        <v>0</v>
      </c>
      <c r="E99" s="26">
        <f>IFERROR('cashflow data set '!G30,0)</f>
        <v>0</v>
      </c>
      <c r="F99" s="26">
        <f>IFERROR('cashflow data set '!H30,0)</f>
        <v>-345</v>
      </c>
      <c r="G99" s="26">
        <f>IFERROR('cashflow data set '!I30,0)</f>
        <v>-375</v>
      </c>
      <c r="H99" s="26">
        <f>IFERROR('cashflow data set '!J30,0)</f>
        <v>-2357</v>
      </c>
      <c r="I99" s="26">
        <f>IFERROR('cashflow data set '!K30,0)</f>
        <v>-755</v>
      </c>
      <c r="J99" s="26">
        <f>IFERROR('cashflow data set '!L30,0)</f>
        <v>-634</v>
      </c>
      <c r="K99" s="26">
        <f>IFERROR('cashflow data set '!M30,0)</f>
        <v>-416</v>
      </c>
      <c r="L99" s="26">
        <f>IFERROR('cashflow data set '!N30,0)</f>
        <v>0</v>
      </c>
    </row>
    <row r="100" spans="2:12" x14ac:dyDescent="0.35">
      <c r="B100" t="s">
        <v>79</v>
      </c>
      <c r="C100" s="26">
        <f>IFERROR('cashflow data set '!E31,0)</f>
        <v>-119</v>
      </c>
      <c r="D100" s="26">
        <f>IFERROR('cashflow data set '!F31,0)</f>
        <v>-124</v>
      </c>
      <c r="E100" s="26">
        <f>IFERROR('cashflow data set '!G31,0)</f>
        <v>-158</v>
      </c>
      <c r="F100" s="26">
        <f>IFERROR('cashflow data set '!H31,0)</f>
        <v>-215</v>
      </c>
      <c r="G100" s="26">
        <f>IFERROR('cashflow data set '!I31,0)</f>
        <v>-156</v>
      </c>
      <c r="H100" s="26">
        <f>IFERROR('cashflow data set '!J31,0)</f>
        <v>-166</v>
      </c>
      <c r="I100" s="26">
        <f>IFERROR('cashflow data set '!K31,0)</f>
        <v>-119</v>
      </c>
      <c r="J100" s="26">
        <f>IFERROR('cashflow data set '!L31,0)</f>
        <v>-119</v>
      </c>
      <c r="K100" s="26">
        <f>IFERROR('cashflow data set '!M31,0)</f>
        <v>-267</v>
      </c>
      <c r="L100" s="26">
        <f>IFERROR('cashflow data set '!N31,0)</f>
        <v>-319</v>
      </c>
    </row>
    <row r="101" spans="2:12" x14ac:dyDescent="0.35">
      <c r="B101" t="s">
        <v>80</v>
      </c>
      <c r="C101" s="26">
        <f>IFERROR('cashflow data set '!E32,0)</f>
        <v>-187</v>
      </c>
      <c r="D101" s="26">
        <f>IFERROR('cashflow data set '!F32,0)</f>
        <v>-196</v>
      </c>
      <c r="E101" s="26">
        <f>IFERROR('cashflow data set '!G32,0)</f>
        <v>-613</v>
      </c>
      <c r="F101" s="26">
        <f>IFERROR('cashflow data set '!H32,0)</f>
        <v>-1227</v>
      </c>
      <c r="G101" s="26">
        <f>IFERROR('cashflow data set '!I32,0)</f>
        <v>-818</v>
      </c>
      <c r="H101" s="26">
        <f>IFERROR('cashflow data set '!J32,0)</f>
        <v>0</v>
      </c>
      <c r="I101" s="26">
        <f>IFERROR('cashflow data set '!K32,0)</f>
        <v>0</v>
      </c>
      <c r="J101" s="26">
        <f>IFERROR('cashflow data set '!L32,0)</f>
        <v>0</v>
      </c>
      <c r="K101" s="26">
        <f>IFERROR('cashflow data set '!M32,0)</f>
        <v>-511</v>
      </c>
      <c r="L101" s="26">
        <f>IFERROR('cashflow data set '!N32,0)</f>
        <v>-2557</v>
      </c>
    </row>
    <row r="102" spans="2:12" x14ac:dyDescent="0.35">
      <c r="B102" t="s">
        <v>81</v>
      </c>
      <c r="C102" s="26">
        <f>IFERROR('cashflow data set '!E33,0)</f>
        <v>0</v>
      </c>
      <c r="D102" s="26">
        <f>IFERROR('cashflow data set '!F33,0)</f>
        <v>0</v>
      </c>
      <c r="E102" s="26">
        <f>IFERROR('cashflow data set '!G33,0)</f>
        <v>0</v>
      </c>
      <c r="F102" s="26">
        <f>IFERROR('cashflow data set '!H33,0)</f>
        <v>0</v>
      </c>
      <c r="G102" s="26">
        <f>IFERROR('cashflow data set '!I33,0)</f>
        <v>-25</v>
      </c>
      <c r="H102" s="26">
        <f>IFERROR('cashflow data set '!J33,0)</f>
        <v>-31</v>
      </c>
      <c r="I102" s="26">
        <f>IFERROR('cashflow data set '!K33,0)</f>
        <v>-41</v>
      </c>
      <c r="J102" s="26">
        <f>IFERROR('cashflow data set '!L33,0)</f>
        <v>-41</v>
      </c>
      <c r="K102" s="26">
        <f>IFERROR('cashflow data set '!M33,0)</f>
        <v>-80</v>
      </c>
      <c r="L102" s="26">
        <f>IFERROR('cashflow data set '!N33,0)</f>
        <v>-42</v>
      </c>
    </row>
    <row r="103" spans="2:12" x14ac:dyDescent="0.35">
      <c r="B103" t="s">
        <v>82</v>
      </c>
      <c r="C103" s="26">
        <f>IFERROR('cashflow data set '!E34,0)</f>
        <v>381</v>
      </c>
      <c r="D103" s="26">
        <f>IFERROR('cashflow data set '!F34,0)</f>
        <v>984</v>
      </c>
      <c r="E103" s="26">
        <f>IFERROR('cashflow data set '!G34,0)</f>
        <v>-613</v>
      </c>
      <c r="F103" s="26">
        <f>IFERROR('cashflow data set '!H34,0)</f>
        <v>-253</v>
      </c>
      <c r="G103" s="26">
        <f>IFERROR('cashflow data set '!I34,0)</f>
        <v>-168</v>
      </c>
      <c r="H103" s="26">
        <f>IFERROR('cashflow data set '!J34,0)</f>
        <v>0</v>
      </c>
      <c r="I103" s="26">
        <f>IFERROR('cashflow data set '!K34,0)</f>
        <v>0</v>
      </c>
      <c r="J103" s="26">
        <f>IFERROR('cashflow data set '!L34,0)</f>
        <v>0</v>
      </c>
      <c r="K103" s="26">
        <f>IFERROR('cashflow data set '!M34,0)</f>
        <v>0</v>
      </c>
      <c r="L103" s="26">
        <f>IFERROR('cashflow data set '!N34,0)</f>
        <v>5</v>
      </c>
    </row>
    <row r="104" spans="2:12" x14ac:dyDescent="0.35">
      <c r="B104" s="11" t="s">
        <v>118</v>
      </c>
      <c r="C104" s="29">
        <f>SUM(C96:C103)</f>
        <v>-203</v>
      </c>
      <c r="D104" s="29">
        <f t="shared" ref="D104:L104" si="23">SUM(D96:D103)</f>
        <v>664</v>
      </c>
      <c r="E104" s="29">
        <f t="shared" si="23"/>
        <v>-1384</v>
      </c>
      <c r="F104" s="29">
        <f t="shared" si="23"/>
        <v>-2040</v>
      </c>
      <c r="G104" s="29">
        <f t="shared" si="23"/>
        <v>-1295</v>
      </c>
      <c r="H104" s="29">
        <f t="shared" si="23"/>
        <v>-1817</v>
      </c>
      <c r="I104" s="29">
        <f t="shared" si="23"/>
        <v>-380</v>
      </c>
      <c r="J104" s="29">
        <f t="shared" si="23"/>
        <v>-794</v>
      </c>
      <c r="K104" s="29">
        <f t="shared" si="23"/>
        <v>1407</v>
      </c>
      <c r="L104" s="29">
        <f t="shared" si="23"/>
        <v>-2181</v>
      </c>
    </row>
    <row r="105" spans="2:12" x14ac:dyDescent="0.35"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 spans="2:12" x14ac:dyDescent="0.35">
      <c r="B106" s="11" t="s">
        <v>3</v>
      </c>
      <c r="C106" s="29">
        <f>IFERROR(SUM(C80+C93+C104),0)</f>
        <v>23</v>
      </c>
      <c r="D106" s="29">
        <f t="shared" ref="D106:L106" si="24">IFERROR(SUM(D80+D93+D104),0)</f>
        <v>281</v>
      </c>
      <c r="E106" s="29">
        <f t="shared" si="24"/>
        <v>4</v>
      </c>
      <c r="F106" s="29">
        <f t="shared" si="24"/>
        <v>-38</v>
      </c>
      <c r="G106" s="29">
        <f t="shared" si="24"/>
        <v>-259</v>
      </c>
      <c r="H106" s="29">
        <f t="shared" si="24"/>
        <v>-80</v>
      </c>
      <c r="I106" s="29">
        <f t="shared" si="24"/>
        <v>226</v>
      </c>
      <c r="J106" s="29">
        <f t="shared" si="24"/>
        <v>-396</v>
      </c>
      <c r="K106" s="29">
        <f t="shared" si="24"/>
        <v>42</v>
      </c>
      <c r="L106" s="29">
        <f t="shared" si="24"/>
        <v>52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A1A1-686A-4185-93EA-1DBBD15C6345}">
  <dimension ref="A2:P40"/>
  <sheetViews>
    <sheetView showGridLines="0" tabSelected="1" topLeftCell="A2" zoomScaleNormal="100" workbookViewId="0">
      <selection activeCell="O10" sqref="O10"/>
    </sheetView>
  </sheetViews>
  <sheetFormatPr defaultRowHeight="14.5" x14ac:dyDescent="0.35"/>
  <cols>
    <col min="1" max="1" width="1.81640625" bestFit="1" customWidth="1"/>
    <col min="2" max="2" width="27.26953125" bestFit="1" customWidth="1"/>
    <col min="3" max="4" width="8.36328125" bestFit="1" customWidth="1"/>
    <col min="5" max="5" width="8.54296875" bestFit="1" customWidth="1"/>
    <col min="6" max="9" width="8.36328125" bestFit="1" customWidth="1"/>
    <col min="10" max="10" width="8.54296875" bestFit="1" customWidth="1"/>
    <col min="11" max="12" width="8.36328125" bestFit="1" customWidth="1"/>
    <col min="13" max="13" width="5.26953125" bestFit="1" customWidth="1"/>
    <col min="14" max="14" width="5.1796875" bestFit="1" customWidth="1"/>
    <col min="15" max="15" width="6.6328125" bestFit="1" customWidth="1"/>
  </cols>
  <sheetData>
    <row r="2" spans="1:15" x14ac:dyDescent="0.35">
      <c r="B2" s="34" t="str">
        <f>"Historical Financial Statement - "  &amp;   'Data Sheet'!B1</f>
        <v>Historical Financial Statement - GODREJ CONSUMER PRODUCTS LTD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x14ac:dyDescent="0.35">
      <c r="A3" s="11" t="s">
        <v>83</v>
      </c>
      <c r="B3" s="12" t="s">
        <v>84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13" t="s">
        <v>155</v>
      </c>
      <c r="N3" s="13" t="s">
        <v>156</v>
      </c>
      <c r="O3" s="13" t="s">
        <v>157</v>
      </c>
    </row>
    <row r="5" spans="1:15" x14ac:dyDescent="0.35">
      <c r="B5" t="s">
        <v>126</v>
      </c>
      <c r="D5" s="30">
        <f>IFERROR(Historical_FS!D7,0)</f>
        <v>-9.1070154975609441E-2</v>
      </c>
      <c r="E5" s="30">
        <f>IFERROR(Historical_FS!E7,0)</f>
        <v>-5.8849872504805889E-2</v>
      </c>
      <c r="F5" s="30">
        <f>IFERROR(Historical_FS!F7,0)</f>
        <v>-4.5268044295611709E-2</v>
      </c>
      <c r="G5" s="30">
        <f>IFERROR(Historical_FS!G7,0)</f>
        <v>4.0717197400815364E-2</v>
      </c>
      <c r="H5" s="30">
        <f>IFERROR(Historical_FS!H7,0)</f>
        <v>-0.10135628936349261</v>
      </c>
      <c r="I5" s="30">
        <f>IFERROR(Historical_FS!I7,0)</f>
        <v>-0.10164786380483026</v>
      </c>
      <c r="J5" s="30">
        <f>IFERROR(Historical_FS!J7,0)</f>
        <v>-7.8061906117241175E-2</v>
      </c>
      <c r="K5" s="30">
        <f>IFERROR(Historical_FS!K7,0)</f>
        <v>-5.5344346773684494E-2</v>
      </c>
      <c r="L5" s="30">
        <f>IFERROR(Historical_FS!L7,0)</f>
        <v>-1.8669909894606707E-2</v>
      </c>
      <c r="N5">
        <f>IFERROR(AVERAGE(D5:L5),0)</f>
        <v>-5.6616798925451878E-2</v>
      </c>
      <c r="O5">
        <f t="shared" ref="O5:O9" si="0">IFERROR(MEDIAN(D5:L5),0)</f>
        <v>-5.8849872504805889E-2</v>
      </c>
    </row>
    <row r="6" spans="1:15" x14ac:dyDescent="0.35">
      <c r="B6" t="s">
        <v>127</v>
      </c>
      <c r="D6" s="23">
        <f>IFERROR((Historical_FS!D18/Historical_FS!C18-1),0)</f>
        <v>0.15043623067733392</v>
      </c>
      <c r="E6" s="23">
        <f>IFERROR((Historical_FS!E18/Historical_FS!D18-1),0)</f>
        <v>9.3191937945467762E-2</v>
      </c>
      <c r="F6" s="23">
        <f>IFERROR((Historical_FS!F18/Historical_FS!E18-1),0)</f>
        <v>2.2630013433121876E-2</v>
      </c>
      <c r="G6" s="23">
        <f>IFERROR((Historical_FS!G18/Historical_FS!F18-1),0)</f>
        <v>1.0405475776070761E-2</v>
      </c>
      <c r="H6" s="23">
        <f>IFERROR((Historical_FS!H18/Historical_FS!G18-1),0)</f>
        <v>0.11399187463726146</v>
      </c>
      <c r="I6" s="23">
        <f>IFERROR((Historical_FS!I18/Historical_FS!H18-1),0)</f>
        <v>4.1346081708519833E-3</v>
      </c>
      <c r="J6" s="23">
        <f>IFERROR((Historical_FS!J18/Historical_FS!I18-1),0)</f>
        <v>1.412098722386812E-2</v>
      </c>
      <c r="K6" s="23">
        <f>IFERROR((Historical_FS!K18/Historical_FS!J18-1),0)</f>
        <v>0.21042894564505654</v>
      </c>
      <c r="L6" s="23">
        <f>IFERROR((Historical_FS!L18/Historical_FS!K18-1),0)</f>
        <v>1.9507527085334875E-2</v>
      </c>
      <c r="N6">
        <f t="shared" ref="N6:N9" si="1">IFERROR(AVERAGE(D6:L6),0)</f>
        <v>7.0983066732707475E-2</v>
      </c>
      <c r="O6">
        <f t="shared" si="0"/>
        <v>2.2630013433121876E-2</v>
      </c>
    </row>
    <row r="7" spans="1:15" x14ac:dyDescent="0.35">
      <c r="B7" t="s">
        <v>128</v>
      </c>
      <c r="D7" s="23">
        <f>IFERROR((Historical_FS!D27/Historical_FS!C27-1),0)</f>
        <v>0.13465051727165744</v>
      </c>
      <c r="E7" s="23">
        <f>IFERROR((Historical_FS!E27/Historical_FS!D27-1),0)</f>
        <v>-9.7573765341551044E-2</v>
      </c>
      <c r="F7" s="23">
        <f>IFERROR((Historical_FS!F27/Historical_FS!E27-1),0)</f>
        <v>-3.0999298612069959E-3</v>
      </c>
      <c r="G7" s="23">
        <f>IFERROR((Historical_FS!G27/Historical_FS!F27-1),0)</f>
        <v>-7.9575188153336862E-3</v>
      </c>
      <c r="H7" s="23">
        <f>IFERROR((Historical_FS!H27/Historical_FS!G27-1),0)</f>
        <v>0.21014432733522481</v>
      </c>
      <c r="I7" s="23">
        <f>IFERROR((Historical_FS!I27/Historical_FS!H27-1),0)</f>
        <v>0.24616496838719049</v>
      </c>
      <c r="J7" s="23">
        <f>IFERROR((Historical_FS!J27/Historical_FS!I27-1),0)</f>
        <v>4.5456573902118436E-2</v>
      </c>
      <c r="K7" s="23">
        <f>IFERROR((Historical_FS!K27/Historical_FS!J27-1),0)</f>
        <v>-3.778324298233815E-2</v>
      </c>
      <c r="L7" s="23">
        <f>IFERROR((Historical_FS!L27/Historical_FS!K27-1),0)</f>
        <v>0.70074834667594854</v>
      </c>
      <c r="N7">
        <f t="shared" si="1"/>
        <v>0.13230558628574554</v>
      </c>
      <c r="O7">
        <f t="shared" si="0"/>
        <v>4.5456573902118436E-2</v>
      </c>
    </row>
    <row r="8" spans="1:15" x14ac:dyDescent="0.35">
      <c r="B8" t="s">
        <v>129</v>
      </c>
      <c r="D8" s="23">
        <f>IFERROR((Historical_FS!D33/Historical_FS!C33-1),0)</f>
        <v>0.13526540889180172</v>
      </c>
      <c r="E8" s="23">
        <f>IFERROR((Historical_FS!E33/Historical_FS!D33-1),0)</f>
        <v>-0.11340660342247799</v>
      </c>
      <c r="F8" s="23">
        <f>IFERROR((Historical_FS!F33/Historical_FS!E33-1),0)</f>
        <v>0.1852711717268638</v>
      </c>
      <c r="G8" s="23">
        <f>IFERROR((Historical_FS!G33/Historical_FS!F33-1),0)</f>
        <v>-0.13275334105906822</v>
      </c>
      <c r="H8" s="23">
        <f>IFERROR((Historical_FS!H33/Historical_FS!G33-1),0)</f>
        <v>0.19895433406859642</v>
      </c>
      <c r="I8" s="23">
        <f>IFERROR((Historical_FS!I33/Historical_FS!H33-1),0)</f>
        <v>0.26381557910736864</v>
      </c>
      <c r="J8" s="23">
        <f>IFERROR((Historical_FS!J33/Historical_FS!I33-1),0)</f>
        <v>3.7848689578043215E-2</v>
      </c>
      <c r="K8" s="23">
        <f>IFERROR((Historical_FS!K33/Historical_FS!J33-1),0)</f>
        <v>-9.868763900444999E-2</v>
      </c>
      <c r="L8" s="23">
        <f>IFERROR((Historical_FS!L33/Historical_FS!K33-1),0)</f>
        <v>0.79304370323040918</v>
      </c>
      <c r="N8">
        <f t="shared" si="1"/>
        <v>0.14103903367967632</v>
      </c>
      <c r="O8">
        <f t="shared" si="0"/>
        <v>0.13526540889180172</v>
      </c>
    </row>
    <row r="9" spans="1:15" x14ac:dyDescent="0.35">
      <c r="B9" t="s">
        <v>130</v>
      </c>
      <c r="D9" s="23">
        <f>IFERROR((Historical_FS!D41/Historical_FS!C41-1),0)</f>
        <v>-0.19999999999999996</v>
      </c>
      <c r="E9" s="23">
        <f>IFERROR((Historical_FS!E41/Historical_FS!D41-1),0)</f>
        <v>-1</v>
      </c>
      <c r="F9" s="23">
        <f>IFERROR((Historical_FS!F41/Historical_FS!E41-1),0)</f>
        <v>0</v>
      </c>
      <c r="G9" s="23">
        <f>IFERROR((Historical_FS!G41/Historical_FS!F41-1),0)</f>
        <v>0</v>
      </c>
      <c r="H9" s="23">
        <f>IFERROR((Historical_FS!H41/Historical_FS!G41-1),0)</f>
        <v>0</v>
      </c>
      <c r="I9" s="23">
        <f>IFERROR((Historical_FS!I41/Historical_FS!H41-1),0)</f>
        <v>0.66666666666666674</v>
      </c>
      <c r="J9" s="23">
        <f>IFERROR((Historical_FS!J41/Historical_FS!I41-1),0)</f>
        <v>-1</v>
      </c>
      <c r="K9" s="23">
        <f>IFERROR((Historical_FS!K41/Historical_FS!J41-1),0)</f>
        <v>0</v>
      </c>
      <c r="L9" s="23">
        <f>IFERROR((Historical_FS!L41/Historical_FS!K41-1),0)</f>
        <v>0</v>
      </c>
      <c r="N9">
        <f t="shared" si="1"/>
        <v>-0.17037037037037037</v>
      </c>
      <c r="O9">
        <f>IFERROR(MEDIAN(D9:L9),0)</f>
        <v>0</v>
      </c>
    </row>
    <row r="11" spans="1:15" x14ac:dyDescent="0.35">
      <c r="B11" t="s">
        <v>131</v>
      </c>
      <c r="C11" s="23">
        <f>IFERROR(Historical_FS!C10,0)</f>
        <v>0.61225824679363916</v>
      </c>
      <c r="D11" s="23">
        <f>IFERROR(Historical_FS!D10,0)</f>
        <v>0.59483206030270053</v>
      </c>
      <c r="E11" s="23">
        <f>IFERROR(Historical_FS!E10,0)</f>
        <v>0.58407422038034285</v>
      </c>
      <c r="F11" s="23">
        <f>IFERROR(Historical_FS!F10,0)</f>
        <v>0.58867848063957562</v>
      </c>
      <c r="G11" s="23">
        <f>IFERROR(Historical_FS!G10,0)</f>
        <v>0.58294789522541068</v>
      </c>
      <c r="H11" s="23">
        <f>IFERROR(Historical_FS!H10,0)</f>
        <v>0.5944751020526593</v>
      </c>
      <c r="I11" s="23">
        <f>IFERROR(Historical_FS!I10,0)</f>
        <v>0.63071885309330844</v>
      </c>
      <c r="J11" s="23">
        <f>IFERROR(Historical_FS!J10,0)</f>
        <v>0.63140800106939277</v>
      </c>
      <c r="K11" s="23">
        <f>IFERROR(Historical_FS!K10,0)</f>
        <v>0.57752954538521628</v>
      </c>
      <c r="L11" s="23">
        <f>IFERROR(Historical_FS!L10,0)</f>
        <v>0.5759539803220346</v>
      </c>
      <c r="N11">
        <f>IFERROR(AVERAGE(C11:L11),0)</f>
        <v>0.59728763852642808</v>
      </c>
      <c r="O11">
        <f t="shared" ref="O11:O15" si="2">IFERROR(MEDIAN(C11:L11),0)</f>
        <v>0.5915767913461174</v>
      </c>
    </row>
    <row r="12" spans="1:15" x14ac:dyDescent="0.35">
      <c r="B12" t="s">
        <v>132</v>
      </c>
      <c r="C12" s="23">
        <f>IFERROR(Historical_FS!C19,0)</f>
        <v>0.19674781692046886</v>
      </c>
      <c r="D12" s="23">
        <f>IFERROR(Historical_FS!D19,0)</f>
        <v>0.20573246826954497</v>
      </c>
      <c r="E12" s="23">
        <f>IFERROR(Historical_FS!E19,0)</f>
        <v>0.21166944065609006</v>
      </c>
      <c r="F12" s="23">
        <f>IFERROR(Historical_FS!F19,0)</f>
        <v>0.2066608236687951</v>
      </c>
      <c r="G12" s="23">
        <f>IFERROR(Historical_FS!G19,0)</f>
        <v>0.217313435847762</v>
      </c>
      <c r="H12" s="23">
        <f>IFERROR(Historical_FS!H19,0)</f>
        <v>0.21754852375002501</v>
      </c>
      <c r="I12" s="23">
        <f>IFERROR(Historical_FS!I19,0)</f>
        <v>0.19624322893332785</v>
      </c>
      <c r="J12" s="23">
        <f>IFERROR(Historical_FS!J19,0)</f>
        <v>0.18347893544368141</v>
      </c>
      <c r="K12" s="23">
        <f>IFERROR(Historical_FS!K19,0)</f>
        <v>0.20979688722633405</v>
      </c>
      <c r="L12" s="23">
        <f>IFERROR(Historical_FS!L19,0)</f>
        <v>0.20989620788775512</v>
      </c>
      <c r="N12">
        <f t="shared" ref="N12:N15" si="3">IFERROR(AVERAGE(C12:L12),0)</f>
        <v>0.20550877686037844</v>
      </c>
      <c r="O12">
        <f t="shared" si="2"/>
        <v>0.20822885544756459</v>
      </c>
    </row>
    <row r="13" spans="1:15" x14ac:dyDescent="0.35">
      <c r="B13" t="s">
        <v>133</v>
      </c>
      <c r="C13" s="23">
        <f>IFERROR((Historical_FS!C18-Historical_FS!C27)/Historical_FS!C6,0)</f>
        <v>-0.25615630801958256</v>
      </c>
      <c r="D13" s="23">
        <f>IFERROR((Historical_FS!D18-Historical_FS!D27)/Historical_FS!D6,0)</f>
        <v>-0.26135558070805631</v>
      </c>
      <c r="E13" s="23">
        <f>IFERROR((Historical_FS!E18-Historical_FS!E27)/Historical_FS!E6,0)</f>
        <v>-0.18503711120566468</v>
      </c>
      <c r="F13" s="23">
        <f>IFERROR((Historical_FS!F18-Historical_FS!F27)/Historical_FS!F6,0)</f>
        <v>-0.17091350488737037</v>
      </c>
      <c r="G13" s="23">
        <f>IFERROR((Historical_FS!G18-Historical_FS!G27)/Historical_FS!G6,0)</f>
        <v>-0.17250776930217546</v>
      </c>
      <c r="H13" s="23">
        <f>IFERROR((Historical_FS!H18-Historical_FS!H27)/Historical_FS!H6,0)</f>
        <v>-0.20637758849248586</v>
      </c>
      <c r="I13" s="23">
        <f>IFERROR((Historical_FS!I18-Historical_FS!I27)/Historical_FS!I6,0)</f>
        <v>-0.27833991772899447</v>
      </c>
      <c r="J13" s="23">
        <f>IFERROR((Historical_FS!J18-Historical_FS!J27)/Historical_FS!J6,0)</f>
        <v>-0.27394624649950416</v>
      </c>
      <c r="K13" s="23">
        <f>IFERROR((Historical_FS!K18-Historical_FS!K27)/Historical_FS!K6,0)</f>
        <v>-0.20598590675016018</v>
      </c>
      <c r="L13" s="23">
        <f>IFERROR((Historical_FS!L18-Historical_FS!L27)/Historical_FS!L6,0)</f>
        <v>-0.48404341599898071</v>
      </c>
      <c r="N13">
        <f t="shared" si="3"/>
        <v>-0.24946633495929751</v>
      </c>
      <c r="O13">
        <f t="shared" si="2"/>
        <v>-0.23126694825603422</v>
      </c>
    </row>
    <row r="14" spans="1:15" x14ac:dyDescent="0.35">
      <c r="B14" t="s">
        <v>134</v>
      </c>
      <c r="C14" s="23">
        <f>IFERROR(Historical_FS!C28,0)</f>
        <v>0.45290412494005144</v>
      </c>
      <c r="D14" s="23">
        <f>IFERROR(Historical_FS!D28,0)</f>
        <v>0.46708804897760126</v>
      </c>
      <c r="E14" s="23">
        <f>IFERROR(Historical_FS!E28,0)</f>
        <v>0.39670655186175474</v>
      </c>
      <c r="F14" s="23">
        <f>IFERROR(Historical_FS!F28,0)</f>
        <v>0.37757432855616546</v>
      </c>
      <c r="G14" s="23">
        <f>IFERROR(Historical_FS!G28,0)</f>
        <v>0.38982120514993746</v>
      </c>
      <c r="H14" s="23">
        <f>IFERROR(Historical_FS!H28,0)</f>
        <v>0.42392611224251087</v>
      </c>
      <c r="I14" s="23">
        <f>IFERROR(Historical_FS!I28,0)</f>
        <v>0.47458314666232232</v>
      </c>
      <c r="J14" s="23">
        <f>IFERROR(Historical_FS!J28,0)</f>
        <v>0.45742518194318554</v>
      </c>
      <c r="K14" s="23">
        <f>IFERROR(Historical_FS!K28,0)</f>
        <v>0.4157827939764942</v>
      </c>
      <c r="L14" s="23">
        <f>IFERROR(Historical_FS!L28,0)</f>
        <v>0.6939396238867358</v>
      </c>
      <c r="N14">
        <f t="shared" si="3"/>
        <v>0.45497511181967587</v>
      </c>
      <c r="O14">
        <f t="shared" si="2"/>
        <v>0.43841511859128113</v>
      </c>
    </row>
    <row r="15" spans="1:15" x14ac:dyDescent="0.35">
      <c r="B15" t="s">
        <v>135</v>
      </c>
      <c r="C15" s="23">
        <f>IFERROR(Historical_FS!C34,0)</f>
        <v>0.41301158136155786</v>
      </c>
      <c r="D15" s="23">
        <f>IFERROR(Historical_FS!D34,0)</f>
        <v>0.42617699136051174</v>
      </c>
      <c r="E15" s="23">
        <f>IFERROR(Historical_FS!E34,0)</f>
        <v>0.3556095346704673</v>
      </c>
      <c r="F15" s="23">
        <f>IFERROR(Historical_FS!F34,0)</f>
        <v>0.40241353300356592</v>
      </c>
      <c r="G15" s="23">
        <f>IFERROR(Historical_FS!G34,0)</f>
        <v>0.36320175969649271</v>
      </c>
      <c r="H15" s="23">
        <f>IFERROR(Historical_FS!H34,0)</f>
        <v>0.39132547861835842</v>
      </c>
      <c r="I15" s="23">
        <f>IFERROR(Historical_FS!I34,0)</f>
        <v>0.44429193988514643</v>
      </c>
      <c r="J15" s="23">
        <f>IFERROR(Historical_FS!J34,0)</f>
        <v>0.42511285321309683</v>
      </c>
      <c r="K15" s="23">
        <f>IFERROR(Historical_FS!K34,0)</f>
        <v>0.36195375887390208</v>
      </c>
      <c r="L15" s="23">
        <f>IFERROR(Historical_FS!L34,0)</f>
        <v>0.6368821570714599</v>
      </c>
      <c r="N15">
        <f t="shared" si="3"/>
        <v>0.42199795877545593</v>
      </c>
      <c r="O15">
        <f t="shared" si="2"/>
        <v>0.40771255718256189</v>
      </c>
    </row>
    <row r="17" spans="2:16" x14ac:dyDescent="0.35">
      <c r="B17" t="s">
        <v>136</v>
      </c>
      <c r="C17" s="30">
        <f>IFERROR(Historical_FS!C16,0)</f>
        <v>0.19099393628589204</v>
      </c>
      <c r="D17" s="30">
        <f>IFERROR(Historical_FS!D16,0)</f>
        <v>0.1994354714277545</v>
      </c>
      <c r="E17" s="30">
        <f>IFERROR(Historical_FS!E16,0)</f>
        <v>0.20425633896356715</v>
      </c>
      <c r="F17" s="30">
        <f>IFERROR(Historical_FS!F16,0)</f>
        <v>0.20466069569162931</v>
      </c>
      <c r="G17" s="30">
        <f>IFERROR(Historical_FS!G16,0)</f>
        <v>0.19973866892682732</v>
      </c>
      <c r="H17" s="30">
        <f>IFERROR(Historical_FS!H16,0)</f>
        <v>0.18797637419731569</v>
      </c>
      <c r="I17" s="30">
        <f>IFERROR(Historical_FS!I16,0)</f>
        <v>0.17303791797336376</v>
      </c>
      <c r="J17" s="30">
        <f>IFERROR(Historical_FS!J16,0)</f>
        <v>0.18511306348692586</v>
      </c>
      <c r="K17" s="30">
        <f>IFERROR(Historical_FS!K16,0)</f>
        <v>0.2126735673884497</v>
      </c>
      <c r="L17" s="30">
        <f>IFERROR(Historical_FS!L16,0)</f>
        <v>0.21414981179021034</v>
      </c>
      <c r="N17">
        <f t="shared" ref="N17:N19" si="4">IFERROR(AVERAGE(C17:L17),0)</f>
        <v>0.19720358461319354</v>
      </c>
      <c r="O17">
        <f t="shared" ref="O17:O19" si="5">IFERROR(MEDIAN(C17:L17),0)</f>
        <v>0.19958707017729091</v>
      </c>
    </row>
    <row r="18" spans="2:16" x14ac:dyDescent="0.35">
      <c r="B18" t="s">
        <v>121</v>
      </c>
      <c r="C18" s="30">
        <f>IFERROR(Historical_FS!C25,0)</f>
        <v>1.1945801697080207E-2</v>
      </c>
      <c r="D18" s="30">
        <f>IFERROR(Historical_FS!D25,0)</f>
        <v>1.5275288603363649E-2</v>
      </c>
      <c r="E18" s="30">
        <f>IFERROR(Historical_FS!E25,0)</f>
        <v>1.5809200979341818E-2</v>
      </c>
      <c r="F18" s="30">
        <f>IFERROR(Historical_FS!F25,0)</f>
        <v>1.6479968664984863E-2</v>
      </c>
      <c r="G18" s="30">
        <f>IFERROR(Historical_FS!G25,0)</f>
        <v>1.9905557573556124E-2</v>
      </c>
      <c r="H18" s="30">
        <f>IFERROR(Historical_FS!H25,0)</f>
        <v>1.8483726885140661E-2</v>
      </c>
      <c r="I18" s="30">
        <f>IFERROR(Historical_FS!I25,0)</f>
        <v>1.7100150694416161E-2</v>
      </c>
      <c r="J18" s="30">
        <f>IFERROR(Historical_FS!J25,0)</f>
        <v>1.7744858241645182E-2</v>
      </c>
      <c r="K18" s="30">
        <f>IFERROR(Historical_FS!K25,0)</f>
        <v>1.7094077727827037E-2</v>
      </c>
      <c r="L18" s="30">
        <f>IFERROR(Historical_FS!L25,0)</f>
        <v>1.6290397924296988E-2</v>
      </c>
      <c r="N18">
        <f t="shared" si="4"/>
        <v>1.6612902899165269E-2</v>
      </c>
      <c r="O18">
        <f t="shared" si="5"/>
        <v>1.6787023196405952E-2</v>
      </c>
    </row>
    <row r="19" spans="2:16" x14ac:dyDescent="0.35">
      <c r="B19" t="s">
        <v>137</v>
      </c>
      <c r="C19" s="30">
        <f>C14</f>
        <v>0.45290412494005144</v>
      </c>
      <c r="D19" s="30">
        <f t="shared" ref="D19:L19" si="6">D14</f>
        <v>0.46708804897760126</v>
      </c>
      <c r="E19" s="30">
        <f t="shared" si="6"/>
        <v>0.39670655186175474</v>
      </c>
      <c r="F19" s="30">
        <f t="shared" si="6"/>
        <v>0.37757432855616546</v>
      </c>
      <c r="G19" s="30">
        <f t="shared" si="6"/>
        <v>0.38982120514993746</v>
      </c>
      <c r="H19" s="30">
        <f t="shared" si="6"/>
        <v>0.42392611224251087</v>
      </c>
      <c r="I19" s="30">
        <f t="shared" si="6"/>
        <v>0.47458314666232232</v>
      </c>
      <c r="J19" s="30">
        <f t="shared" si="6"/>
        <v>0.45742518194318554</v>
      </c>
      <c r="K19" s="30">
        <f t="shared" si="6"/>
        <v>0.4157827939764942</v>
      </c>
      <c r="L19" s="30">
        <f t="shared" si="6"/>
        <v>0.6939396238867358</v>
      </c>
      <c r="N19">
        <f t="shared" si="4"/>
        <v>0.45497511181967587</v>
      </c>
      <c r="O19">
        <f t="shared" si="5"/>
        <v>0.43841511859128113</v>
      </c>
    </row>
    <row r="21" spans="2:16" x14ac:dyDescent="0.35">
      <c r="B21" t="s">
        <v>138</v>
      </c>
      <c r="C21" s="23">
        <f>IFERROR((Historical_FS!C18-Historical_FS!C24)/SUM(Historical_FS!C47:C49),0)</f>
        <v>0.21748150341991135</v>
      </c>
      <c r="D21" s="23">
        <f>IFERROR((Historical_FS!D18-Historical_FS!D24)/SUM(Historical_FS!D47:D49),0)</f>
        <v>0.18974124142201107</v>
      </c>
      <c r="E21" s="23">
        <f>IFERROR((Historical_FS!E18-Historical_FS!E24)/SUM(Historical_FS!E47:E49),0)</f>
        <v>0.19749577099042798</v>
      </c>
      <c r="F21" s="23">
        <f>IFERROR((Historical_FS!F18-Historical_FS!F24)/SUM(Historical_FS!F47:F49),0)</f>
        <v>0.18420466955959119</v>
      </c>
      <c r="G21" s="23">
        <f>IFERROR((Historical_FS!G18-Historical_FS!G24)/SUM(Historical_FS!G47:G49),0)</f>
        <v>0.17052329184290868</v>
      </c>
      <c r="H21" s="23">
        <f>IFERROR((Historical_FS!H18-Historical_FS!H24)/SUM(Historical_FS!H47:H49),0)</f>
        <v>0.1942347386106362</v>
      </c>
      <c r="I21" s="23">
        <f>IFERROR((Historical_FS!I18-Historical_FS!I24)/SUM(Historical_FS!I47:I49),0)</f>
        <v>0.16585258067897557</v>
      </c>
      <c r="J21" s="23">
        <f>IFERROR((Historical_FS!J18-Historical_FS!J24)/SUM(Historical_FS!J47:J49),0)</f>
        <v>0.14787845731083404</v>
      </c>
      <c r="K21" s="23">
        <f>IFERROR((Historical_FS!K18-Historical_FS!K24)/SUM(Historical_FS!K47:K49),0)</f>
        <v>0.17169581505830625</v>
      </c>
      <c r="L21" s="23">
        <f>IFERROR((Historical_FS!L18-Historical_FS!L24)/SUM(Historical_FS!L47:L49),0)</f>
        <v>0.17372181247231935</v>
      </c>
      <c r="N21">
        <f t="shared" ref="N21:N25" si="7">IFERROR(AVERAGE(C21:L21),0)</f>
        <v>0.18128298813659222</v>
      </c>
      <c r="O21">
        <f t="shared" ref="O21:O25" si="8">IFERROR(MEDIAN(C21:L21),0)</f>
        <v>0.17896324101595529</v>
      </c>
    </row>
    <row r="22" spans="2:16" x14ac:dyDescent="0.35">
      <c r="B22" t="s">
        <v>139</v>
      </c>
      <c r="C22" s="30">
        <f>IFERROR(Historical_FS!C44,0)</f>
        <v>0.70619344899343517</v>
      </c>
      <c r="D22" s="30">
        <f>IFERROR(Historical_FS!D44,0)</f>
        <v>0.79293984206675328</v>
      </c>
      <c r="E22" s="30">
        <f>IFERROR(Historical_FS!E44,0)</f>
        <v>1</v>
      </c>
      <c r="F22" s="30">
        <f>IFERROR(Historical_FS!F44,0)</f>
        <v>1</v>
      </c>
      <c r="G22" s="30">
        <f>IFERROR(Historical_FS!G44,0)</f>
        <v>1</v>
      </c>
      <c r="H22" s="30">
        <f>IFERROR(Historical_FS!H44,0)</f>
        <v>0.64451385381089865</v>
      </c>
      <c r="I22" s="30">
        <f>IFERROR(Historical_FS!I44,0)</f>
        <v>0.5311081980437633</v>
      </c>
      <c r="J22" s="30">
        <f>IFERROR(Historical_FS!J44,0)</f>
        <v>0</v>
      </c>
      <c r="K22" s="30">
        <f>IFERROR(Historical_FS!K44,0)</f>
        <v>0</v>
      </c>
      <c r="L22" s="30">
        <f>IFERROR(Historical_FS!L44,0)</f>
        <v>0</v>
      </c>
      <c r="N22">
        <f t="shared" si="7"/>
        <v>0.56747553429148501</v>
      </c>
      <c r="O22">
        <f t="shared" si="8"/>
        <v>0.67535365140216697</v>
      </c>
    </row>
    <row r="23" spans="2:16" x14ac:dyDescent="0.35">
      <c r="B23" t="s">
        <v>140</v>
      </c>
      <c r="C23" s="30">
        <f>IFERROR((Historical_FS!C33)/(SUM(Historical_FS!C47:C49)),0)</f>
        <v>0.48604653761902633</v>
      </c>
      <c r="D23" s="30">
        <f>IFERROR((Historical_FS!D33)/(SUM(Historical_FS!D47:D49)),0)</f>
        <v>0.42457497033176822</v>
      </c>
      <c r="E23" s="30">
        <f>IFERROR((Historical_FS!E33)/(SUM(Historical_FS!E47:E49)),0)</f>
        <v>0.35857905278377367</v>
      </c>
      <c r="F23" s="30">
        <f>IFERROR((Historical_FS!F33)/(SUM(Historical_FS!F47:F49)),0)</f>
        <v>0.38976821232476</v>
      </c>
      <c r="G23" s="30">
        <f>IFERROR((Historical_FS!G33)/(SUM(Historical_FS!G47:G49)),0)</f>
        <v>0.31373803420628538</v>
      </c>
      <c r="H23" s="30">
        <f>IFERROR((Historical_FS!H33)/(SUM(Historical_FS!H47:H49)),0)</f>
        <v>0.38183045545069538</v>
      </c>
      <c r="I23" s="30">
        <f>IFERROR((Historical_FS!I33)/(SUM(Historical_FS!I47:I49)),0)</f>
        <v>0.41133023686546355</v>
      </c>
      <c r="J23" s="30">
        <f>IFERROR((Historical_FS!J33)/(SUM(Historical_FS!J47:J49)),0)</f>
        <v>0.37931265541440162</v>
      </c>
      <c r="K23" s="30">
        <f>IFERROR((Historical_FS!K33)/(SUM(Historical_FS!K47:K49)),0)</f>
        <v>0.3224963133905619</v>
      </c>
      <c r="L23" s="30">
        <f>IFERROR((Historical_FS!L33)/(SUM(Historical_FS!L47:L49)),0)</f>
        <v>0.57147211996694247</v>
      </c>
      <c r="N23">
        <f t="shared" si="7"/>
        <v>0.40391485883536787</v>
      </c>
      <c r="O23">
        <f t="shared" si="8"/>
        <v>0.38579933388772769</v>
      </c>
      <c r="P23" t="s">
        <v>158</v>
      </c>
    </row>
    <row r="24" spans="2:16" x14ac:dyDescent="0.35">
      <c r="B24" t="s">
        <v>141</v>
      </c>
      <c r="C24" s="30">
        <f>IFERROR((1-Historical_FS!C42)*Historical_FS!C44,0)</f>
        <v>0.49870918740124354</v>
      </c>
      <c r="D24" s="30">
        <f>IFERROR((1-Historical_FS!D42)*Historical_FS!D44,0)</f>
        <v>0.62875359313684764</v>
      </c>
      <c r="E24" s="30">
        <f>IFERROR((1-Historical_FS!E42)*Historical_FS!E44,0)</f>
        <v>1</v>
      </c>
      <c r="F24" s="30">
        <f>IFERROR((1-Historical_FS!F42)*Historical_FS!F44,0)</f>
        <v>1</v>
      </c>
      <c r="G24" s="30">
        <f>IFERROR((1-Historical_FS!G42)*Historical_FS!G44,0)</f>
        <v>1</v>
      </c>
      <c r="H24" s="30">
        <f>IFERROR((1-Historical_FS!H42)*Historical_FS!H44,0)</f>
        <v>0.41539810775417646</v>
      </c>
      <c r="I24" s="30">
        <f>IFERROR((1-Historical_FS!I42)*Historical_FS!I44,0)</f>
        <v>0.28207591802929333</v>
      </c>
      <c r="J24" s="30">
        <f>IFERROR((1-Historical_FS!J42)*Historical_FS!J44,0)</f>
        <v>0</v>
      </c>
      <c r="K24" s="30">
        <f>IFERROR((1-Historical_FS!K42)*Historical_FS!K44,0)</f>
        <v>0</v>
      </c>
      <c r="L24" s="30">
        <f>IFERROR((1-Historical_FS!L42)*Historical_FS!L44,0)</f>
        <v>0</v>
      </c>
      <c r="N24">
        <f t="shared" si="7"/>
        <v>0.48249368063215614</v>
      </c>
      <c r="O24">
        <f t="shared" si="8"/>
        <v>0.45705364757771</v>
      </c>
      <c r="P24" t="s">
        <v>159</v>
      </c>
    </row>
    <row r="25" spans="2:16" x14ac:dyDescent="0.35">
      <c r="B25" t="s">
        <v>142</v>
      </c>
      <c r="C25" s="32">
        <f>(Historical_FS!C18-Historical_FS!C24)/Historical_FS!C21</f>
        <v>-5.9408868874980882</v>
      </c>
      <c r="D25" s="32">
        <f>(Historical_FS!D18-Historical_FS!D24)/Historical_FS!D21</f>
        <v>23.170648464163801</v>
      </c>
      <c r="E25" s="32">
        <f>(Historical_FS!E18-Historical_FS!E24)/Historical_FS!E21</f>
        <v>6.8085286642191507</v>
      </c>
      <c r="F25" s="32">
        <f>(Historical_FS!F18-Historical_FS!F24)/Historical_FS!F21</f>
        <v>5.4195054565547736</v>
      </c>
      <c r="G25" s="32">
        <f>(Historical_FS!G18-Historical_FS!G24)/Historical_FS!G21</f>
        <v>61.025265127885199</v>
      </c>
      <c r="H25" s="32">
        <f>(Historical_FS!H18-Historical_FS!H24)/Historical_FS!H21</f>
        <v>97.142035398230135</v>
      </c>
      <c r="I25" s="32">
        <f>(Historical_FS!I18-Historical_FS!I24)/Historical_FS!I21</f>
        <v>28.098249648652097</v>
      </c>
      <c r="J25" s="32">
        <f>(Historical_FS!J18-Historical_FS!J24)/Historical_FS!J21</f>
        <v>19.308048993875747</v>
      </c>
      <c r="K25" s="32">
        <f>(Historical_FS!K18-Historical_FS!K24)/Historical_FS!K21</f>
        <v>-1.2299235701090303</v>
      </c>
      <c r="L25" s="32">
        <f>(Historical_FS!L18-Historical_FS!L24)/Historical_FS!L21</f>
        <v>11.038820307228207</v>
      </c>
      <c r="N25">
        <f t="shared" si="7"/>
        <v>24.484029160320198</v>
      </c>
      <c r="O25">
        <f t="shared" si="8"/>
        <v>15.173434650551977</v>
      </c>
      <c r="P25" t="s">
        <v>160</v>
      </c>
    </row>
    <row r="27" spans="2:16" x14ac:dyDescent="0.35">
      <c r="B27" t="s">
        <v>143</v>
      </c>
      <c r="C27" s="32">
        <f>IFERROR(Historical_FS!C6/Historical_FS!C59,0)</f>
        <v>7.5347089918694818</v>
      </c>
      <c r="D27" s="32">
        <f>IFERROR(Historical_FS!D6/Historical_FS!D59,0)</f>
        <v>9.0089915819351827</v>
      </c>
      <c r="E27" s="32">
        <f>IFERROR(Historical_FS!E6/Historical_FS!E59,0)</f>
        <v>7.9064070654355687</v>
      </c>
      <c r="F27" s="32">
        <f>IFERROR(Historical_FS!F6/Historical_FS!F59,0)</f>
        <v>7.9776780880191813</v>
      </c>
      <c r="G27" s="32">
        <f>IFERROR(Historical_FS!G6/Historical_FS!G59,0)</f>
        <v>8.5640959170447175</v>
      </c>
      <c r="H27" s="32">
        <f>IFERROR(Historical_FS!H6/Historical_FS!H59,0)</f>
        <v>10.979213539074166</v>
      </c>
      <c r="I27" s="32">
        <f>IFERROR(Historical_FS!I6/Historical_FS!I59,0)</f>
        <v>10.997294682528308</v>
      </c>
      <c r="J27" s="32">
        <f>IFERROR(Historical_FS!J6/Historical_FS!J59,0)</f>
        <v>10.693153347038416</v>
      </c>
      <c r="K27" s="32">
        <f>IFERROR(Historical_FS!K6/Historical_FS!K59,0)</f>
        <v>9.1809205598650507</v>
      </c>
      <c r="L27" s="32">
        <f>IFERROR(Historical_FS!L6/Historical_FS!L59,0)</f>
        <v>7.8962416100003852</v>
      </c>
      <c r="N27">
        <f t="shared" ref="N27:N31" si="9">IFERROR(AVERAGE(C27:L27),0)</f>
        <v>9.0738705382810458</v>
      </c>
      <c r="O27">
        <f t="shared" ref="O27:O31" si="10">IFERROR(MEDIAN(C27:L27),0)</f>
        <v>8.786543749489951</v>
      </c>
    </row>
    <row r="28" spans="2:16" x14ac:dyDescent="0.35">
      <c r="B28" t="s">
        <v>144</v>
      </c>
      <c r="C28" s="32">
        <f>IFERROR(Historical_FS!C6/Historical_FS!C50,0)</f>
        <v>3.3419342553140843</v>
      </c>
      <c r="D28" s="32">
        <f>IFERROR(Historical_FS!D6/Historical_FS!D50,0)</f>
        <v>2.5479700992750258</v>
      </c>
      <c r="E28" s="32">
        <f>IFERROR(Historical_FS!E6/Historical_FS!E50,0)</f>
        <v>2.4030488861340835</v>
      </c>
      <c r="F28" s="32">
        <f>IFERROR(Historical_FS!F6/Historical_FS!F50,0)</f>
        <v>2.9943679635833687</v>
      </c>
      <c r="G28" s="32">
        <f>IFERROR(Historical_FS!G6/Historical_FS!G50,0)</f>
        <v>2.9089948487650243</v>
      </c>
      <c r="H28" s="32">
        <f>IFERROR(Historical_FS!H6/Historical_FS!H50,0)</f>
        <v>3.7500578050405999</v>
      </c>
      <c r="I28" s="32">
        <f>IFERROR(Historical_FS!I6/Historical_FS!I50,0)</f>
        <v>4.3505147332423766</v>
      </c>
      <c r="J28" s="32">
        <f>IFERROR(Historical_FS!J6/Historical_FS!J50,0)</f>
        <v>5.2978853766734968</v>
      </c>
      <c r="K28" s="32">
        <f>IFERROR(Historical_FS!K6/Historical_FS!K50,0)</f>
        <v>5.4820733400484585</v>
      </c>
      <c r="L28" s="32">
        <f>IFERROR(Historical_FS!L6/Historical_FS!L50,0)</f>
        <v>4.3672535564548252</v>
      </c>
      <c r="N28">
        <f t="shared" si="9"/>
        <v>3.7444100864531342</v>
      </c>
      <c r="O28">
        <f t="shared" si="10"/>
        <v>3.5459960301773421</v>
      </c>
    </row>
    <row r="29" spans="2:16" x14ac:dyDescent="0.35">
      <c r="B29" t="s">
        <v>145</v>
      </c>
      <c r="C29" s="32">
        <f>IFERROR(Historical_FS!C6/Historical_FS!C60,0)</f>
        <v>6.4453013818115039</v>
      </c>
      <c r="D29" s="32">
        <f>IFERROR(Historical_FS!D6/Historical_FS!D60,0)</f>
        <v>6.5613522123893802</v>
      </c>
      <c r="E29" s="32">
        <f>IFERROR(Historical_FS!E6/Historical_FS!E60,0)</f>
        <v>6.2415574373146061</v>
      </c>
      <c r="F29" s="32">
        <f>IFERROR(Historical_FS!F6/Historical_FS!F60,0)</f>
        <v>6.6177378271386322</v>
      </c>
      <c r="G29" s="32">
        <f>IFERROR(Historical_FS!G6/Historical_FS!G60,0)</f>
        <v>5.8192024049978865</v>
      </c>
      <c r="H29" s="32">
        <f>IFERROR(Historical_FS!H6/Historical_FS!H60,0)</f>
        <v>6.4259985433357611</v>
      </c>
      <c r="I29" s="32">
        <f>IFERROR(Historical_FS!I6/Historical_FS!I60,0)</f>
        <v>5.7640209404418155</v>
      </c>
      <c r="J29" s="32">
        <f>IFERROR(Historical_FS!J6/Historical_FS!J60,0)</f>
        <v>8.6627655075952248</v>
      </c>
      <c r="K29" s="32">
        <f>IFERROR(Historical_FS!K6/Historical_FS!K60,0)</f>
        <v>11.091264595725931</v>
      </c>
      <c r="L29" s="32">
        <f>IFERROR(Historical_FS!L6/Historical_FS!L60,0)</f>
        <v>10.125680248131962</v>
      </c>
      <c r="N29">
        <f t="shared" si="9"/>
        <v>7.3754881098882707</v>
      </c>
      <c r="O29">
        <f t="shared" si="10"/>
        <v>6.503326797100442</v>
      </c>
    </row>
    <row r="30" spans="2:16" x14ac:dyDescent="0.35">
      <c r="B30" t="s">
        <v>146</v>
      </c>
      <c r="C30" s="32">
        <f>IFERROR(Historical_FS!C6/Historical_FS!C53,0)</f>
        <v>1.4202154293835698</v>
      </c>
      <c r="D30" s="32">
        <f>IFERROR(Historical_FS!D6/Historical_FS!D53,0)</f>
        <v>1.1466084531646477</v>
      </c>
      <c r="E30" s="32">
        <f>IFERROR(Historical_FS!E6/Historical_FS!E53,0)</f>
        <v>1.1842970535177391</v>
      </c>
      <c r="F30" s="32">
        <f>IFERROR(Historical_FS!F6/Historical_FS!F53,0)</f>
        <v>1.1896229178825086</v>
      </c>
      <c r="G30" s="32">
        <f>IFERROR(Historical_FS!G6/Historical_FS!G53,0)</f>
        <v>1.0735966375630999</v>
      </c>
      <c r="H30" s="32">
        <f>IFERROR(Historical_FS!H6/Historical_FS!H53,0)</f>
        <v>1.2385070024267892</v>
      </c>
      <c r="I30" s="32">
        <f>IFERROR(Historical_FS!I6/Historical_FS!I53,0)</f>
        <v>1.331608690464569</v>
      </c>
      <c r="J30" s="32">
        <f>IFERROR(Historical_FS!J6/Historical_FS!J53,0)</f>
        <v>1.34048980939553</v>
      </c>
      <c r="K30" s="32">
        <f>IFERROR(Historical_FS!K6/Historical_FS!K53,0)</f>
        <v>1.3501710688643174</v>
      </c>
      <c r="L30" s="32">
        <f>IFERROR(Historical_FS!L6/Historical_FS!L53,0)</f>
        <v>1.3454509520718534</v>
      </c>
      <c r="N30">
        <f t="shared" si="9"/>
        <v>1.2620568014734623</v>
      </c>
      <c r="O30">
        <f t="shared" si="10"/>
        <v>1.285057846445679</v>
      </c>
    </row>
    <row r="31" spans="2:16" x14ac:dyDescent="0.35">
      <c r="B31" t="s">
        <v>147</v>
      </c>
      <c r="C31" s="32">
        <f>IFERROR(Historical_FS!C6/Historical_FS!C47,0)</f>
        <v>247.39735682819384</v>
      </c>
      <c r="D31" s="32">
        <f>IFERROR(Historical_FS!D6/Historical_FS!D47,0)</f>
        <v>272.10540223135638</v>
      </c>
      <c r="E31" s="32">
        <f>IFERROR(Historical_FS!E6/Historical_FS!E47,0)</f>
        <v>144.53882283869075</v>
      </c>
      <c r="F31" s="32">
        <f>IFERROR(Historical_FS!F6/Historical_FS!F47,0)</f>
        <v>100.90334572490707</v>
      </c>
      <c r="G31" s="32">
        <f>IFERROR(Historical_FS!G6/Historical_FS!G47,0)</f>
        <v>96.946101927027286</v>
      </c>
      <c r="H31" s="32">
        <f>IFERROR(Historical_FS!H6/Historical_FS!H47,0)</f>
        <v>107.85936430317849</v>
      </c>
      <c r="I31" s="32">
        <f>IFERROR(Historical_FS!I6/Historical_FS!I47,0)</f>
        <v>120.0518286720125</v>
      </c>
      <c r="J31" s="32">
        <f>IFERROR(Historical_FS!J6/Historical_FS!J47,0)</f>
        <v>130.20406766402658</v>
      </c>
      <c r="K31" s="32">
        <f>IFERROR(Historical_FS!K6/Historical_FS!K47,0)</f>
        <v>137.81883066093079</v>
      </c>
      <c r="L31" s="32">
        <f>IFERROR(Historical_FS!L6/Historical_FS!L47,0)</f>
        <v>140.41339198435975</v>
      </c>
      <c r="N31">
        <f t="shared" si="9"/>
        <v>149.82385128346834</v>
      </c>
      <c r="O31">
        <f t="shared" si="10"/>
        <v>134.0114491624787</v>
      </c>
    </row>
    <row r="33" spans="2:15" x14ac:dyDescent="0.35">
      <c r="B33" t="s">
        <v>148</v>
      </c>
      <c r="C33" s="33">
        <f t="shared" ref="C33:L34" si="11">IFERROR(365/C27,0)</f>
        <v>48.442481374378559</v>
      </c>
      <c r="D33" s="33">
        <f t="shared" si="11"/>
        <v>40.515078372578067</v>
      </c>
      <c r="E33" s="33">
        <f t="shared" si="11"/>
        <v>46.165090790185864</v>
      </c>
      <c r="F33" s="33">
        <f t="shared" si="11"/>
        <v>45.752660858571659</v>
      </c>
      <c r="G33" s="33">
        <f t="shared" si="11"/>
        <v>42.619793558542199</v>
      </c>
      <c r="H33" s="33">
        <f t="shared" si="11"/>
        <v>33.244639855213073</v>
      </c>
      <c r="I33" s="33">
        <f t="shared" si="11"/>
        <v>33.189980857736323</v>
      </c>
      <c r="J33" s="33">
        <f t="shared" si="11"/>
        <v>34.133990989766424</v>
      </c>
      <c r="K33" s="33">
        <f t="shared" si="11"/>
        <v>39.756361861534842</v>
      </c>
      <c r="L33" s="33">
        <f t="shared" si="11"/>
        <v>46.224522757477047</v>
      </c>
      <c r="N33">
        <f t="shared" ref="N33:N35" si="12">IFERROR(AVERAGE(C33:L33),0)</f>
        <v>41.004460127598406</v>
      </c>
      <c r="O33">
        <f t="shared" ref="O33:O35" si="13">IFERROR(MEDIAN(C33:L33),0)</f>
        <v>41.567435965560136</v>
      </c>
    </row>
    <row r="34" spans="2:15" x14ac:dyDescent="0.35">
      <c r="B34" t="s">
        <v>149</v>
      </c>
      <c r="C34" s="33">
        <f t="shared" si="11"/>
        <v>109.21818686875882</v>
      </c>
      <c r="D34" s="33">
        <f t="shared" si="11"/>
        <v>143.25128858609978</v>
      </c>
      <c r="E34" s="33">
        <f t="shared" si="11"/>
        <v>151.89037647386172</v>
      </c>
      <c r="F34" s="33">
        <f t="shared" si="11"/>
        <v>121.89550664414786</v>
      </c>
      <c r="G34" s="33">
        <f t="shared" si="11"/>
        <v>125.4728932074101</v>
      </c>
      <c r="H34" s="33">
        <f t="shared" si="11"/>
        <v>97.331832994517896</v>
      </c>
      <c r="I34" s="33">
        <f t="shared" si="11"/>
        <v>83.898118356209011</v>
      </c>
      <c r="J34" s="33">
        <f t="shared" si="11"/>
        <v>68.895412801320518</v>
      </c>
      <c r="K34" s="33">
        <f t="shared" si="11"/>
        <v>66.580648845674432</v>
      </c>
      <c r="L34" s="33">
        <f t="shared" si="11"/>
        <v>83.576553383425136</v>
      </c>
      <c r="N34">
        <f t="shared" si="12"/>
        <v>105.20108181614253</v>
      </c>
      <c r="O34">
        <f t="shared" si="13"/>
        <v>103.27500993163835</v>
      </c>
    </row>
    <row r="35" spans="2:15" x14ac:dyDescent="0.35">
      <c r="B35" t="s">
        <v>150</v>
      </c>
      <c r="C35" s="33">
        <f>IFERROR(365/C29,0)</f>
        <v>56.630400717958949</v>
      </c>
      <c r="D35" s="33">
        <f t="shared" ref="D35:L35" si="14">IFERROR(365/D29,0)</f>
        <v>55.628777146087955</v>
      </c>
      <c r="E35" s="33">
        <f t="shared" si="14"/>
        <v>58.478994011635521</v>
      </c>
      <c r="F35" s="33">
        <f t="shared" si="14"/>
        <v>55.154799046764012</v>
      </c>
      <c r="G35" s="33">
        <f t="shared" si="14"/>
        <v>62.723372482544292</v>
      </c>
      <c r="H35" s="33">
        <f t="shared" si="14"/>
        <v>56.80051085267241</v>
      </c>
      <c r="I35" s="33">
        <f t="shared" si="14"/>
        <v>63.32385044597401</v>
      </c>
      <c r="J35" s="33">
        <f t="shared" si="14"/>
        <v>42.134350708209766</v>
      </c>
      <c r="K35" s="33">
        <f t="shared" si="14"/>
        <v>32.908781216945663</v>
      </c>
      <c r="L35" s="33">
        <f t="shared" si="14"/>
        <v>36.046960900956464</v>
      </c>
      <c r="N35">
        <f t="shared" si="12"/>
        <v>51.983079752974902</v>
      </c>
      <c r="O35">
        <f t="shared" si="13"/>
        <v>56.129588932023452</v>
      </c>
    </row>
    <row r="36" spans="2:15" x14ac:dyDescent="0.35">
      <c r="B36" t="s">
        <v>151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8" spans="2:15" x14ac:dyDescent="0.35">
      <c r="B38" t="s">
        <v>152</v>
      </c>
      <c r="C38" s="30">
        <f>IFERROR(Historical_FS!C80/Historical_FS!C6,0)</f>
        <v>0.10054749117983638</v>
      </c>
      <c r="D38" s="30">
        <f>IFERROR(Historical_FS!D80/Historical_FS!D6,0)</f>
        <v>0.20069249701388986</v>
      </c>
      <c r="E38" s="30">
        <f>IFERROR(Historical_FS!E80/Historical_FS!E6,0)</f>
        <v>0.17507105914944304</v>
      </c>
      <c r="F38" s="30">
        <f>IFERROR(Historical_FS!F80/Historical_FS!F6,0)</f>
        <v>0.16753374428223231</v>
      </c>
      <c r="G38" s="30">
        <f>IFERROR(Historical_FS!G80/Historical_FS!G6,0)</f>
        <v>0.16022924486418857</v>
      </c>
      <c r="H38" s="30">
        <f>IFERROR(Historical_FS!H80/Historical_FS!H6,0)</f>
        <v>0.18406654685717705</v>
      </c>
      <c r="I38" s="30">
        <f>IFERROR(Historical_FS!I80/Historical_FS!I6,0)</f>
        <v>0.11811183969372378</v>
      </c>
      <c r="J38" s="30">
        <f>IFERROR(Historical_FS!J80/Historical_FS!J6,0)</f>
        <v>0.16161045721791203</v>
      </c>
      <c r="K38" s="30">
        <f>IFERROR(Historical_FS!K80/Historical_FS!K6,0)</f>
        <v>0.14684902430528707</v>
      </c>
      <c r="L38" s="30">
        <f>IFERROR(Historical_FS!L80/Historical_FS!L6,0)</f>
        <v>0.17940322842270659</v>
      </c>
      <c r="N38">
        <f t="shared" ref="N38:N40" si="15">IFERROR(AVERAGE(C38:L38),0)</f>
        <v>0.15941151329863965</v>
      </c>
      <c r="O38">
        <f t="shared" ref="O38:O40" si="16">IFERROR(MEDIAN(C38:L38),0)</f>
        <v>0.16457210075007217</v>
      </c>
    </row>
    <row r="39" spans="2:15" x14ac:dyDescent="0.35">
      <c r="B39" t="s">
        <v>153</v>
      </c>
      <c r="C39" s="30">
        <f>IFERROR(Historical_FS!C80/Historical_FS!C64,0)</f>
        <v>8.7511390945515632E-2</v>
      </c>
      <c r="D39" s="30">
        <f>IFERROR(Historical_FS!D80/Historical_FS!D64,0)</f>
        <v>0.14373756303008056</v>
      </c>
      <c r="E39" s="30">
        <f>IFERROR(Historical_FS!E80/Historical_FS!E64,0)</f>
        <v>0.1243528996802457</v>
      </c>
      <c r="F39" s="30">
        <f>IFERROR(Historical_FS!F80/Historical_FS!F64,0)</f>
        <v>0.12260927871260258</v>
      </c>
      <c r="G39" s="30">
        <f>IFERROR(Historical_FS!G80/Historical_FS!G64,0)</f>
        <v>0.10671842196517808</v>
      </c>
      <c r="H39" s="30">
        <f>IFERROR(Historical_FS!H80/Historical_FS!H64,0)</f>
        <v>0.14251824830329568</v>
      </c>
      <c r="I39" s="30">
        <f>IFERROR(Historical_FS!I80/Historical_FS!I64,0)</f>
        <v>9.0162242291439182E-2</v>
      </c>
      <c r="J39" s="30">
        <f>IFERROR(Historical_FS!J80/Historical_FS!J64,0)</f>
        <v>0.12341388497963557</v>
      </c>
      <c r="K39" s="30">
        <f>IFERROR(Historical_FS!K80/Historical_FS!K64,0)</f>
        <v>0.11254844476535551</v>
      </c>
      <c r="L39" s="30">
        <f>IFERROR(Historical_FS!L80/Historical_FS!L64,0)</f>
        <v>0.13354061406917994</v>
      </c>
      <c r="N39">
        <f t="shared" si="15"/>
        <v>0.11871129887425284</v>
      </c>
      <c r="O39">
        <f t="shared" si="16"/>
        <v>0.12301158184611907</v>
      </c>
    </row>
    <row r="40" spans="2:15" x14ac:dyDescent="0.35">
      <c r="B40" t="s">
        <v>154</v>
      </c>
      <c r="C40" s="30">
        <f>IFERROR(Historical_FS!C80/Historical_FS!C59,0)</f>
        <v>0.75759608590263061</v>
      </c>
      <c r="D40" s="30">
        <f>IFERROR(Historical_FS!D80/Historical_FS!D59,0)</f>
        <v>1.8080370161556856</v>
      </c>
      <c r="E40" s="30">
        <f>IFERROR(Historical_FS!E80/Historical_FS!E59,0)</f>
        <v>1.3841830590124449</v>
      </c>
      <c r="F40" s="30">
        <f>IFERROR(Historical_FS!F80/Historical_FS!F59,0)</f>
        <v>1.3365302807641735</v>
      </c>
      <c r="G40" s="30">
        <f>IFERROR(Historical_FS!G80/Historical_FS!G59,0)</f>
        <v>1.3722186217325556</v>
      </c>
      <c r="H40" s="30">
        <f>IFERROR(Historical_FS!H80/Historical_FS!H59,0)</f>
        <v>2.0209059233449476</v>
      </c>
      <c r="I40" s="30">
        <f>IFERROR(Historical_FS!I80/Historical_FS!I59,0)</f>
        <v>1.2989107066074244</v>
      </c>
      <c r="J40" s="30">
        <f>IFERROR(Historical_FS!J80/Historical_FS!J59,0)</f>
        <v>1.7281254015161249</v>
      </c>
      <c r="K40" s="30">
        <f>IFERROR(Historical_FS!K80/Historical_FS!K59,0)</f>
        <v>1.3482092264405323</v>
      </c>
      <c r="L40" s="30">
        <f>IFERROR(Historical_FS!L80/Historical_FS!L59,0)</f>
        <v>1.4166112372397794</v>
      </c>
      <c r="N40">
        <f t="shared" si="15"/>
        <v>1.44713275587163</v>
      </c>
      <c r="O40">
        <f>IFERROR(MEDIAN(C40:L40),0)</f>
        <v>1.3782008403725001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5F3754A-4A5F-4179-9C2F-632A5D22AA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Analysis'!C38:L38</xm:f>
              <xm:sqref>M38</xm:sqref>
            </x14:sparkline>
            <x14:sparkline>
              <xm:f>'Ration Analysis'!C39:L39</xm:f>
              <xm:sqref>M39</xm:sqref>
            </x14:sparkline>
            <x14:sparkline>
              <xm:f>'Ration Analysis'!C40:L40</xm:f>
              <xm:sqref>M40</xm:sqref>
            </x14:sparkline>
          </x14:sparklines>
        </x14:sparklineGroup>
        <x14:sparklineGroup displayEmptyCellsAs="gap" xr2:uid="{F5063BF3-7575-46D9-9C6C-DBC9A4F6BF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Analysis'!C33:L33</xm:f>
              <xm:sqref>M33</xm:sqref>
            </x14:sparkline>
            <x14:sparkline>
              <xm:f>'Ration Analysis'!C34:L34</xm:f>
              <xm:sqref>M34</xm:sqref>
            </x14:sparkline>
            <x14:sparkline>
              <xm:f>'Ration Analysis'!C35:L35</xm:f>
              <xm:sqref>M35</xm:sqref>
            </x14:sparkline>
          </x14:sparklines>
        </x14:sparklineGroup>
        <x14:sparklineGroup displayEmptyCellsAs="gap" xr2:uid="{96D67E9A-B4FD-4F15-9EF7-1426E5145F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Analysis'!C27:L27</xm:f>
              <xm:sqref>M27</xm:sqref>
            </x14:sparkline>
            <x14:sparkline>
              <xm:f>'Ration Analysis'!C28:L28</xm:f>
              <xm:sqref>M28</xm:sqref>
            </x14:sparkline>
            <x14:sparkline>
              <xm:f>'Ration Analysis'!C29:L29</xm:f>
              <xm:sqref>M29</xm:sqref>
            </x14:sparkline>
            <x14:sparkline>
              <xm:f>'Ration Analysis'!C30:L30</xm:f>
              <xm:sqref>M30</xm:sqref>
            </x14:sparkline>
            <x14:sparkline>
              <xm:f>'Ration Analysis'!C31:L31</xm:f>
              <xm:sqref>M31</xm:sqref>
            </x14:sparkline>
          </x14:sparklines>
        </x14:sparklineGroup>
        <x14:sparklineGroup displayEmptyCellsAs="gap" xr2:uid="{6D12E310-076B-43DE-BC3E-3FC1373A2D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Analysis'!C21:L21</xm:f>
              <xm:sqref>M21</xm:sqref>
            </x14:sparkline>
            <x14:sparkline>
              <xm:f>'Ration Analysis'!C22:L22</xm:f>
              <xm:sqref>M22</xm:sqref>
            </x14:sparkline>
            <x14:sparkline>
              <xm:f>'Ration Analysis'!C23:L23</xm:f>
              <xm:sqref>M23</xm:sqref>
            </x14:sparkline>
            <x14:sparkline>
              <xm:f>'Ration Analysis'!C24:L24</xm:f>
              <xm:sqref>M24</xm:sqref>
            </x14:sparkline>
            <x14:sparkline>
              <xm:f>'Ration Analysis'!C25:L25</xm:f>
              <xm:sqref>M25</xm:sqref>
            </x14:sparkline>
          </x14:sparklines>
        </x14:sparklineGroup>
        <x14:sparklineGroup displayEmptyCellsAs="gap" xr2:uid="{9308E67D-AC02-4F8D-A69C-59083E2054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Analysis'!C18:L18</xm:f>
              <xm:sqref>M18</xm:sqref>
            </x14:sparkline>
            <x14:sparkline>
              <xm:f>'Ration Analysis'!C19:L19</xm:f>
              <xm:sqref>M19</xm:sqref>
            </x14:sparkline>
          </x14:sparklines>
        </x14:sparklineGroup>
        <x14:sparklineGroup displayEmptyCellsAs="gap" xr2:uid="{9EB5CBB6-374F-4FFA-A3DD-C52E3DB234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Analysis'!C11:L11</xm:f>
              <xm:sqref>M11</xm:sqref>
            </x14:sparkline>
            <x14:sparkline>
              <xm:f>'Ration Analysis'!C12:L12</xm:f>
              <xm:sqref>M12</xm:sqref>
            </x14:sparkline>
            <x14:sparkline>
              <xm:f>'Ration Analysis'!C13:L13</xm:f>
              <xm:sqref>M13</xm:sqref>
            </x14:sparkline>
            <x14:sparkline>
              <xm:f>'Ration Analysis'!C14:L14</xm:f>
              <xm:sqref>M14</xm:sqref>
            </x14:sparkline>
            <x14:sparkline>
              <xm:f>'Ration Analysis'!C15:L15</xm:f>
              <xm:sqref>M15</xm:sqref>
            </x14:sparkline>
          </x14:sparklines>
        </x14:sparklineGroup>
        <x14:sparklineGroup displayEmptyCellsAs="gap" xr2:uid="{8899382A-2586-47EC-AC30-B22DF9CB58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Analysis'!D5:L5</xm:f>
              <xm:sqref>M5</xm:sqref>
            </x14:sparkline>
            <x14:sparkline>
              <xm:f>'Ration Analysis'!D6:L6</xm:f>
              <xm:sqref>M6</xm:sqref>
            </x14:sparkline>
            <x14:sparkline>
              <xm:f>'Ration Analysis'!D7:L7</xm:f>
              <xm:sqref>M7</xm:sqref>
            </x14:sparkline>
            <x14:sparkline>
              <xm:f>'Ration Analysis'!D8:L8</xm:f>
              <xm:sqref>M8</xm:sqref>
            </x14:sparkline>
            <x14:sparkline>
              <xm:f>'Ration Analysis'!D9:L9</xm:f>
              <xm:sqref>M9</xm:sqref>
            </x14:sparkline>
          </x14:sparklines>
        </x14:sparklineGroup>
        <x14:sparklineGroup displayEmptyCellsAs="gap" xr2:uid="{B93E7B54-86BC-422F-AD42-DC9B7DF9B7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'Ration Analysis'!C17:L17</xm:f>
              <xm:sqref>M17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1FD1-3A6E-49E7-89AB-95D8C686B655}">
  <sheetPr>
    <tabColor theme="8" tint="-0.499984740745262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B9E3-5A0D-4689-9DB4-1FABFAEE5D80}">
  <sheetPr>
    <tabColor rgb="FFC00000"/>
  </sheetPr>
  <dimension ref="A1:K93"/>
  <sheetViews>
    <sheetView zoomScale="120" zoomScaleNormal="120" zoomScalePageLayoutView="120" workbookViewId="0">
      <pane xSplit="1" ySplit="1" topLeftCell="E31" activePane="bottomRight" state="frozen"/>
      <selection activeCell="C4" sqref="C4"/>
      <selection pane="topRight" activeCell="C4" sqref="C4"/>
      <selection pane="bottomLeft" activeCell="C4" sqref="C4"/>
      <selection pane="bottomRight" activeCell="L31" sqref="L31"/>
    </sheetView>
  </sheetViews>
  <sheetFormatPr defaultColWidth="8.81640625" defaultRowHeight="14.5" x14ac:dyDescent="0.35"/>
  <cols>
    <col min="1" max="1" width="27.6328125" style="1" bestFit="1" customWidth="1"/>
    <col min="2" max="11" width="13.453125" style="1" bestFit="1" customWidth="1"/>
    <col min="12" max="16384" width="8.81640625" style="1"/>
  </cols>
  <sheetData>
    <row r="1" spans="1:11" s="3" customFormat="1" x14ac:dyDescent="0.35">
      <c r="A1" s="3" t="s">
        <v>53</v>
      </c>
      <c r="B1" s="3" t="s">
        <v>52</v>
      </c>
      <c r="E1" s="35" t="str">
        <f>IF(B2&lt;&gt;B3, "A NEW VERSION OF THE WORKSHEET IS AVAILABLE", "")</f>
        <v/>
      </c>
      <c r="F1" s="35"/>
      <c r="G1" s="35"/>
      <c r="H1" s="35"/>
      <c r="I1" s="35"/>
      <c r="J1" s="35"/>
      <c r="K1" s="35"/>
    </row>
    <row r="2" spans="1:11" x14ac:dyDescent="0.35">
      <c r="A2" s="3" t="s">
        <v>51</v>
      </c>
      <c r="B2" s="1">
        <v>2.1</v>
      </c>
      <c r="E2" s="36" t="s">
        <v>50</v>
      </c>
      <c r="F2" s="36"/>
      <c r="G2" s="36"/>
      <c r="H2" s="36"/>
      <c r="I2" s="36"/>
      <c r="J2" s="36"/>
      <c r="K2" s="36"/>
    </row>
    <row r="3" spans="1:11" x14ac:dyDescent="0.35">
      <c r="A3" s="3" t="s">
        <v>49</v>
      </c>
      <c r="B3" s="1">
        <v>2.1</v>
      </c>
    </row>
    <row r="4" spans="1:11" x14ac:dyDescent="0.35">
      <c r="A4" s="3"/>
    </row>
    <row r="5" spans="1:11" x14ac:dyDescent="0.35">
      <c r="A5" s="3" t="s">
        <v>48</v>
      </c>
    </row>
    <row r="6" spans="1:11" x14ac:dyDescent="0.35">
      <c r="A6" s="1" t="s">
        <v>47</v>
      </c>
      <c r="B6" s="1">
        <f>IF(B9&gt;0, B9/B8, 0)</f>
        <v>102.32445951257861</v>
      </c>
    </row>
    <row r="7" spans="1:11" x14ac:dyDescent="0.35">
      <c r="A7" s="1" t="s">
        <v>46</v>
      </c>
      <c r="B7">
        <v>1</v>
      </c>
    </row>
    <row r="8" spans="1:11" x14ac:dyDescent="0.35">
      <c r="A8" s="1" t="s">
        <v>45</v>
      </c>
      <c r="B8">
        <v>1017.6</v>
      </c>
    </row>
    <row r="9" spans="1:11" x14ac:dyDescent="0.35">
      <c r="A9" s="1" t="s">
        <v>44</v>
      </c>
      <c r="B9">
        <v>104125.37</v>
      </c>
    </row>
    <row r="15" spans="1:11" x14ac:dyDescent="0.35">
      <c r="A15" s="3" t="s">
        <v>43</v>
      </c>
    </row>
    <row r="16" spans="1:11" s="5" customFormat="1" x14ac:dyDescent="0.35">
      <c r="A16" s="7" t="s">
        <v>7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s="4" customFormat="1" x14ac:dyDescent="0.35">
      <c r="A17" s="4" t="s">
        <v>33</v>
      </c>
      <c r="B17">
        <v>8423.8799999999992</v>
      </c>
      <c r="C17">
        <v>9267.91</v>
      </c>
      <c r="D17">
        <v>9847.43</v>
      </c>
      <c r="E17">
        <v>10314.34</v>
      </c>
      <c r="F17">
        <v>9910.7999999999993</v>
      </c>
      <c r="G17">
        <v>11028.62</v>
      </c>
      <c r="H17">
        <v>12276.5</v>
      </c>
      <c r="I17">
        <v>13315.97</v>
      </c>
      <c r="J17">
        <v>14096.11</v>
      </c>
      <c r="K17">
        <v>14364.29</v>
      </c>
    </row>
    <row r="18" spans="1:11" s="4" customFormat="1" x14ac:dyDescent="0.35">
      <c r="A18" s="1" t="s">
        <v>42</v>
      </c>
      <c r="B18">
        <v>3959.14</v>
      </c>
      <c r="C18">
        <v>4265.8500000000004</v>
      </c>
      <c r="D18">
        <v>4218.3599999999997</v>
      </c>
      <c r="E18">
        <v>4399.79</v>
      </c>
      <c r="F18">
        <v>4434.83</v>
      </c>
      <c r="G18">
        <v>4971.7700000000004</v>
      </c>
      <c r="H18">
        <v>6136.63</v>
      </c>
      <c r="I18">
        <v>6489.85</v>
      </c>
      <c r="J18">
        <v>6333.43</v>
      </c>
      <c r="K18">
        <v>6594.23</v>
      </c>
    </row>
    <row r="19" spans="1:11" s="4" customFormat="1" x14ac:dyDescent="0.35">
      <c r="A19" s="1" t="s">
        <v>41</v>
      </c>
      <c r="B19">
        <v>91.9</v>
      </c>
      <c r="C19">
        <v>133.33000000000001</v>
      </c>
      <c r="D19">
        <v>-56</v>
      </c>
      <c r="E19">
        <v>-154.54</v>
      </c>
      <c r="F19">
        <v>173.15</v>
      </c>
      <c r="G19">
        <v>42.35</v>
      </c>
      <c r="H19">
        <v>61.54</v>
      </c>
      <c r="I19">
        <v>-212.94</v>
      </c>
      <c r="J19">
        <v>13.13</v>
      </c>
      <c r="K19">
        <v>58.12</v>
      </c>
    </row>
    <row r="20" spans="1:11" s="4" customFormat="1" x14ac:dyDescent="0.35">
      <c r="A20" s="1" t="s">
        <v>40</v>
      </c>
      <c r="B20">
        <v>109.99</v>
      </c>
      <c r="C20">
        <v>89.02</v>
      </c>
      <c r="D20">
        <v>101.11</v>
      </c>
      <c r="E20">
        <v>119.29</v>
      </c>
      <c r="F20">
        <v>118.29</v>
      </c>
      <c r="G20">
        <v>106.23</v>
      </c>
      <c r="H20">
        <v>133.49</v>
      </c>
      <c r="I20">
        <v>154.63</v>
      </c>
      <c r="J20">
        <v>150.85</v>
      </c>
      <c r="K20">
        <v>138.37</v>
      </c>
    </row>
    <row r="21" spans="1:11" s="4" customFormat="1" x14ac:dyDescent="0.35">
      <c r="A21" s="1" t="s">
        <v>39</v>
      </c>
      <c r="B21">
        <v>236.23</v>
      </c>
      <c r="C21">
        <v>302.85000000000002</v>
      </c>
      <c r="D21">
        <v>318.75</v>
      </c>
      <c r="E21">
        <v>329.8</v>
      </c>
      <c r="F21">
        <v>378.69</v>
      </c>
      <c r="G21">
        <v>397.25</v>
      </c>
      <c r="H21">
        <v>430.3</v>
      </c>
      <c r="I21">
        <v>438.91</v>
      </c>
      <c r="J21">
        <v>420.43</v>
      </c>
      <c r="K21">
        <v>449.91</v>
      </c>
    </row>
    <row r="22" spans="1:11" s="4" customFormat="1" x14ac:dyDescent="0.35">
      <c r="A22" s="1" t="s">
        <v>38</v>
      </c>
      <c r="B22">
        <v>944.13</v>
      </c>
      <c r="C22">
        <v>988.46</v>
      </c>
      <c r="D22">
        <v>1057.4100000000001</v>
      </c>
      <c r="E22">
        <v>1068.4100000000001</v>
      </c>
      <c r="F22">
        <v>1018.82</v>
      </c>
      <c r="G22">
        <v>1123.3399999999999</v>
      </c>
      <c r="H22">
        <v>1104.1400000000001</v>
      </c>
      <c r="I22">
        <v>1111.48</v>
      </c>
      <c r="J22">
        <v>1249.3399999999999</v>
      </c>
      <c r="K22">
        <v>1148.78</v>
      </c>
    </row>
    <row r="23" spans="1:11" s="4" customFormat="1" x14ac:dyDescent="0.35">
      <c r="A23" s="1" t="s">
        <v>37</v>
      </c>
      <c r="B23">
        <v>1464.98</v>
      </c>
      <c r="C23">
        <v>1649.39</v>
      </c>
      <c r="D23">
        <v>1775.76</v>
      </c>
      <c r="E23">
        <v>1888.86</v>
      </c>
      <c r="F23">
        <v>1770.13</v>
      </c>
      <c r="G23">
        <v>1808.73</v>
      </c>
      <c r="H23">
        <v>1836.49</v>
      </c>
      <c r="I23">
        <v>2144.44</v>
      </c>
      <c r="J23">
        <v>2639.66</v>
      </c>
      <c r="K23">
        <v>4241.2700000000004</v>
      </c>
    </row>
    <row r="24" spans="1:11" s="4" customFormat="1" x14ac:dyDescent="0.35">
      <c r="A24" s="1" t="s">
        <v>36</v>
      </c>
      <c r="B24">
        <v>143.93</v>
      </c>
      <c r="C24">
        <v>198.96</v>
      </c>
      <c r="D24">
        <v>235.64</v>
      </c>
      <c r="E24">
        <v>222.08</v>
      </c>
      <c r="F24">
        <v>209.44</v>
      </c>
      <c r="G24">
        <v>264.39</v>
      </c>
      <c r="H24">
        <v>287.81</v>
      </c>
      <c r="I24">
        <v>320.52</v>
      </c>
      <c r="J24">
        <v>358.21</v>
      </c>
      <c r="K24">
        <v>-1165.1600000000001</v>
      </c>
    </row>
    <row r="25" spans="1:11" s="4" customFormat="1" x14ac:dyDescent="0.35">
      <c r="A25" s="4" t="s">
        <v>31</v>
      </c>
      <c r="B25">
        <v>-262.04000000000002</v>
      </c>
      <c r="C25">
        <v>76.180000000000007</v>
      </c>
      <c r="D25">
        <v>283.27999999999997</v>
      </c>
      <c r="E25">
        <v>361.95</v>
      </c>
      <c r="F25">
        <v>32.06</v>
      </c>
      <c r="G25">
        <v>22.6</v>
      </c>
      <c r="H25">
        <v>78.27</v>
      </c>
      <c r="I25">
        <v>114.3</v>
      </c>
      <c r="J25">
        <v>-2208.56</v>
      </c>
      <c r="K25">
        <v>251.93</v>
      </c>
    </row>
    <row r="26" spans="1:11" s="4" customFormat="1" x14ac:dyDescent="0.35">
      <c r="A26" s="4" t="s">
        <v>30</v>
      </c>
      <c r="B26">
        <v>100.63</v>
      </c>
      <c r="C26">
        <v>141.57</v>
      </c>
      <c r="D26">
        <v>155.68</v>
      </c>
      <c r="E26">
        <v>169.98</v>
      </c>
      <c r="F26">
        <v>197.28</v>
      </c>
      <c r="G26">
        <v>203.85</v>
      </c>
      <c r="H26">
        <v>209.93</v>
      </c>
      <c r="I26">
        <v>236.29</v>
      </c>
      <c r="J26">
        <v>240.96</v>
      </c>
      <c r="K26">
        <v>234</v>
      </c>
    </row>
    <row r="27" spans="1:11" s="4" customFormat="1" x14ac:dyDescent="0.35">
      <c r="A27" s="4" t="s">
        <v>29</v>
      </c>
      <c r="B27">
        <v>128.04</v>
      </c>
      <c r="C27">
        <v>154.19</v>
      </c>
      <c r="D27">
        <v>173.12</v>
      </c>
      <c r="E27">
        <v>238.21</v>
      </c>
      <c r="F27">
        <v>228.13</v>
      </c>
      <c r="G27">
        <v>137.65</v>
      </c>
      <c r="H27">
        <v>122.26</v>
      </c>
      <c r="I27">
        <v>188.48</v>
      </c>
      <c r="J27">
        <v>309.57</v>
      </c>
      <c r="K27">
        <v>361.05</v>
      </c>
    </row>
    <row r="28" spans="1:11" s="4" customFormat="1" x14ac:dyDescent="0.35">
      <c r="A28" s="4" t="s">
        <v>28</v>
      </c>
      <c r="B28">
        <v>1166.67</v>
      </c>
      <c r="C28">
        <v>1687.13</v>
      </c>
      <c r="D28">
        <v>2038.88</v>
      </c>
      <c r="E28">
        <v>2085.33</v>
      </c>
      <c r="F28">
        <v>1760.4</v>
      </c>
      <c r="G28">
        <v>2080.36</v>
      </c>
      <c r="H28">
        <v>2155.2600000000002</v>
      </c>
      <c r="I28">
        <v>2132.73</v>
      </c>
      <c r="J28">
        <v>198.23</v>
      </c>
      <c r="K28">
        <v>2671.89</v>
      </c>
    </row>
    <row r="29" spans="1:11" s="4" customFormat="1" x14ac:dyDescent="0.35">
      <c r="A29" s="4" t="s">
        <v>27</v>
      </c>
      <c r="B29">
        <v>336.05</v>
      </c>
      <c r="C29">
        <v>379.16</v>
      </c>
      <c r="D29">
        <v>404.7</v>
      </c>
      <c r="E29">
        <v>-256.2</v>
      </c>
      <c r="F29">
        <v>263.82</v>
      </c>
      <c r="G29">
        <v>359.54</v>
      </c>
      <c r="H29">
        <v>371.87</v>
      </c>
      <c r="I29">
        <v>430.27</v>
      </c>
      <c r="J29">
        <v>758.78</v>
      </c>
      <c r="K29">
        <v>819.59</v>
      </c>
    </row>
    <row r="30" spans="1:11" s="4" customFormat="1" x14ac:dyDescent="0.35">
      <c r="A30" s="4" t="s">
        <v>26</v>
      </c>
      <c r="B30">
        <v>827.61</v>
      </c>
      <c r="C30">
        <v>1304.08</v>
      </c>
      <c r="D30">
        <v>1634.18</v>
      </c>
      <c r="E30">
        <v>2341.5300000000002</v>
      </c>
      <c r="F30">
        <v>1496.58</v>
      </c>
      <c r="G30">
        <v>1720.82</v>
      </c>
      <c r="H30">
        <v>1783.39</v>
      </c>
      <c r="I30">
        <v>1702.46</v>
      </c>
      <c r="J30">
        <v>-560.54999999999995</v>
      </c>
      <c r="K30">
        <v>1852.3</v>
      </c>
    </row>
    <row r="31" spans="1:11" s="4" customFormat="1" x14ac:dyDescent="0.35">
      <c r="A31" s="4" t="s">
        <v>35</v>
      </c>
      <c r="B31">
        <v>195.79</v>
      </c>
      <c r="C31">
        <v>510.9</v>
      </c>
      <c r="D31">
        <v>681.3</v>
      </c>
      <c r="E31">
        <v>1022.2</v>
      </c>
      <c r="F31">
        <v>817.84</v>
      </c>
      <c r="J31">
        <v>1534.2</v>
      </c>
      <c r="K31">
        <v>2557.5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3" t="s">
        <v>34</v>
      </c>
    </row>
    <row r="41" spans="1:11" s="5" customFormat="1" x14ac:dyDescent="0.35">
      <c r="A41" s="7" t="s">
        <v>7</v>
      </c>
      <c r="B41" s="6">
        <v>45199</v>
      </c>
      <c r="C41" s="6">
        <v>45291</v>
      </c>
      <c r="D41" s="6">
        <v>45382</v>
      </c>
      <c r="E41" s="6">
        <v>45473</v>
      </c>
      <c r="F41" s="6">
        <v>45565</v>
      </c>
      <c r="G41" s="6">
        <v>45657</v>
      </c>
      <c r="H41" s="6">
        <v>45747</v>
      </c>
      <c r="I41" s="6">
        <v>45838</v>
      </c>
      <c r="J41" s="6">
        <v>45930</v>
      </c>
      <c r="K41" s="6">
        <v>46022</v>
      </c>
    </row>
    <row r="42" spans="1:11" s="4" customFormat="1" x14ac:dyDescent="0.35">
      <c r="A42" s="4" t="s">
        <v>33</v>
      </c>
      <c r="B42">
        <v>3601.95</v>
      </c>
      <c r="C42">
        <v>3659.64</v>
      </c>
      <c r="D42">
        <v>3385.61</v>
      </c>
      <c r="E42">
        <v>3331.58</v>
      </c>
      <c r="F42">
        <v>3666.33</v>
      </c>
      <c r="G42">
        <v>3768.43</v>
      </c>
      <c r="H42">
        <v>3597.95</v>
      </c>
      <c r="I42">
        <v>3661.86</v>
      </c>
      <c r="J42">
        <v>3825.09</v>
      </c>
      <c r="K42">
        <v>4099.12</v>
      </c>
    </row>
    <row r="43" spans="1:11" s="4" customFormat="1" x14ac:dyDescent="0.35">
      <c r="A43" s="4" t="s">
        <v>32</v>
      </c>
      <c r="B43">
        <v>2897.78</v>
      </c>
      <c r="C43">
        <v>2818.92</v>
      </c>
      <c r="D43">
        <v>2629.89</v>
      </c>
      <c r="E43">
        <v>2607.15</v>
      </c>
      <c r="F43">
        <v>2906.69</v>
      </c>
      <c r="G43">
        <v>3012.49</v>
      </c>
      <c r="H43">
        <v>2838.73</v>
      </c>
      <c r="I43">
        <v>2967.3</v>
      </c>
      <c r="J43">
        <v>3091.76</v>
      </c>
      <c r="K43">
        <v>3218.68</v>
      </c>
    </row>
    <row r="44" spans="1:11" s="4" customFormat="1" x14ac:dyDescent="0.35">
      <c r="A44" s="4" t="s">
        <v>31</v>
      </c>
      <c r="B44">
        <v>53.39</v>
      </c>
      <c r="C44">
        <v>63.19</v>
      </c>
      <c r="D44">
        <v>-2311.81</v>
      </c>
      <c r="E44">
        <v>56.81</v>
      </c>
      <c r="F44">
        <v>80.209999999999994</v>
      </c>
      <c r="G44">
        <v>77.36</v>
      </c>
      <c r="H44">
        <v>42.3</v>
      </c>
      <c r="I44">
        <v>64.98</v>
      </c>
      <c r="J44">
        <v>33.19</v>
      </c>
      <c r="K44">
        <v>-35.11</v>
      </c>
    </row>
    <row r="45" spans="1:11" s="4" customFormat="1" x14ac:dyDescent="0.35">
      <c r="A45" s="4" t="s">
        <v>30</v>
      </c>
      <c r="B45">
        <v>60.88</v>
      </c>
      <c r="C45">
        <v>53.88</v>
      </c>
      <c r="D45">
        <v>49.91</v>
      </c>
      <c r="E45">
        <v>49.46</v>
      </c>
      <c r="F45">
        <v>50.1</v>
      </c>
      <c r="G45">
        <v>61.89</v>
      </c>
      <c r="H45">
        <v>72.55</v>
      </c>
      <c r="I45">
        <v>59.35</v>
      </c>
      <c r="J45">
        <v>65.64</v>
      </c>
      <c r="K45">
        <v>66.41</v>
      </c>
    </row>
    <row r="46" spans="1:11" s="4" customFormat="1" x14ac:dyDescent="0.35">
      <c r="A46" s="4" t="s">
        <v>29</v>
      </c>
      <c r="B46">
        <v>77.31</v>
      </c>
      <c r="C46">
        <v>66.59</v>
      </c>
      <c r="D46">
        <v>78.47</v>
      </c>
      <c r="E46">
        <v>87.75</v>
      </c>
      <c r="F46">
        <v>83.09</v>
      </c>
      <c r="G46">
        <v>89.71</v>
      </c>
      <c r="H46">
        <v>89.56</v>
      </c>
      <c r="I46">
        <v>86.49</v>
      </c>
      <c r="J46">
        <v>75.87</v>
      </c>
      <c r="K46">
        <v>78.94</v>
      </c>
    </row>
    <row r="47" spans="1:11" s="4" customFormat="1" x14ac:dyDescent="0.35">
      <c r="A47" s="4" t="s">
        <v>28</v>
      </c>
      <c r="B47">
        <v>619.37</v>
      </c>
      <c r="C47">
        <v>783.44</v>
      </c>
      <c r="D47">
        <v>-1684.47</v>
      </c>
      <c r="E47">
        <v>644.03</v>
      </c>
      <c r="F47">
        <v>706.66</v>
      </c>
      <c r="G47">
        <v>681.7</v>
      </c>
      <c r="H47">
        <v>639.41</v>
      </c>
      <c r="I47">
        <v>613.70000000000005</v>
      </c>
      <c r="J47">
        <v>625.01</v>
      </c>
      <c r="K47">
        <v>699.98</v>
      </c>
    </row>
    <row r="48" spans="1:11" s="4" customFormat="1" x14ac:dyDescent="0.35">
      <c r="A48" s="4" t="s">
        <v>27</v>
      </c>
      <c r="B48">
        <v>186.6</v>
      </c>
      <c r="C48">
        <v>202.38</v>
      </c>
      <c r="D48">
        <v>208.74</v>
      </c>
      <c r="E48">
        <v>193.34</v>
      </c>
      <c r="F48">
        <v>215.35</v>
      </c>
      <c r="G48">
        <v>183.39</v>
      </c>
      <c r="H48">
        <v>227.51</v>
      </c>
      <c r="I48">
        <v>161.25</v>
      </c>
      <c r="J48">
        <v>165.67</v>
      </c>
      <c r="K48">
        <v>202.07</v>
      </c>
    </row>
    <row r="49" spans="1:11" s="4" customFormat="1" x14ac:dyDescent="0.35">
      <c r="A49" s="4" t="s">
        <v>26</v>
      </c>
      <c r="B49">
        <v>432.77</v>
      </c>
      <c r="C49">
        <v>581.05999999999995</v>
      </c>
      <c r="D49">
        <v>-1893.21</v>
      </c>
      <c r="E49">
        <v>450.69</v>
      </c>
      <c r="F49">
        <v>491.31</v>
      </c>
      <c r="G49">
        <v>498.31</v>
      </c>
      <c r="H49">
        <v>411.9</v>
      </c>
      <c r="I49">
        <v>452.45</v>
      </c>
      <c r="J49">
        <v>459.34</v>
      </c>
      <c r="K49">
        <v>497.91</v>
      </c>
    </row>
    <row r="50" spans="1:11" x14ac:dyDescent="0.35">
      <c r="A50" s="4" t="s">
        <v>25</v>
      </c>
      <c r="B50">
        <v>704.17</v>
      </c>
      <c r="C50">
        <v>840.72</v>
      </c>
      <c r="D50">
        <v>755.72</v>
      </c>
      <c r="E50">
        <v>724.43</v>
      </c>
      <c r="F50">
        <v>759.64</v>
      </c>
      <c r="G50">
        <v>755.94</v>
      </c>
      <c r="H50">
        <v>759.22</v>
      </c>
      <c r="I50">
        <v>694.56</v>
      </c>
      <c r="J50">
        <v>733.33</v>
      </c>
      <c r="K50">
        <v>880.44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3" t="s">
        <v>24</v>
      </c>
    </row>
    <row r="56" spans="1:11" s="5" customFormat="1" x14ac:dyDescent="0.35">
      <c r="A56" s="7" t="s">
        <v>7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5">
      <c r="A57" s="4" t="s">
        <v>23</v>
      </c>
      <c r="B57">
        <v>34.049999999999997</v>
      </c>
      <c r="C57">
        <v>34.06</v>
      </c>
      <c r="D57">
        <v>68.13</v>
      </c>
      <c r="E57">
        <v>102.22</v>
      </c>
      <c r="F57">
        <v>102.23</v>
      </c>
      <c r="G57">
        <v>102.25</v>
      </c>
      <c r="H57">
        <v>102.26</v>
      </c>
      <c r="I57">
        <v>102.27</v>
      </c>
      <c r="J57">
        <v>102.28</v>
      </c>
      <c r="K57">
        <v>102.3</v>
      </c>
    </row>
    <row r="58" spans="1:11" x14ac:dyDescent="0.35">
      <c r="A58" s="4" t="s">
        <v>22</v>
      </c>
      <c r="B58">
        <v>4232.91</v>
      </c>
      <c r="C58">
        <v>5267.89</v>
      </c>
      <c r="D58">
        <v>6190.18</v>
      </c>
      <c r="E58">
        <v>7164.7</v>
      </c>
      <c r="F58">
        <v>7796.13</v>
      </c>
      <c r="G58">
        <v>9336.65</v>
      </c>
      <c r="H58">
        <v>11453.67</v>
      </c>
      <c r="I58">
        <v>13691.96</v>
      </c>
      <c r="J58">
        <v>12496.29</v>
      </c>
      <c r="K58">
        <v>11896.91</v>
      </c>
    </row>
    <row r="59" spans="1:11" x14ac:dyDescent="0.35">
      <c r="A59" s="4" t="s">
        <v>21</v>
      </c>
      <c r="B59">
        <v>2891.12</v>
      </c>
      <c r="C59">
        <v>4000.93</v>
      </c>
      <c r="D59">
        <v>3507.57</v>
      </c>
      <c r="E59">
        <v>3382.05</v>
      </c>
      <c r="F59">
        <v>3574.97</v>
      </c>
      <c r="G59">
        <v>1863.97</v>
      </c>
      <c r="H59">
        <v>1704.34</v>
      </c>
      <c r="I59">
        <v>1129.58</v>
      </c>
      <c r="J59">
        <v>3222.2</v>
      </c>
      <c r="K59">
        <v>4009.2</v>
      </c>
    </row>
    <row r="60" spans="1:11" x14ac:dyDescent="0.35">
      <c r="A60" s="4" t="s">
        <v>20</v>
      </c>
      <c r="B60">
        <v>2520.66</v>
      </c>
      <c r="C60">
        <v>3637.37</v>
      </c>
      <c r="D60">
        <v>4097.8900000000003</v>
      </c>
      <c r="E60">
        <v>3444.58</v>
      </c>
      <c r="F60">
        <v>3406.95</v>
      </c>
      <c r="G60">
        <v>2940.92</v>
      </c>
      <c r="H60">
        <v>2821.85</v>
      </c>
      <c r="I60">
        <v>2513.4499999999998</v>
      </c>
      <c r="J60">
        <v>2571.31</v>
      </c>
      <c r="K60">
        <v>3289.09</v>
      </c>
    </row>
    <row r="61" spans="1:11" s="3" customFormat="1" x14ac:dyDescent="0.35">
      <c r="A61" s="3" t="s">
        <v>15</v>
      </c>
      <c r="B61">
        <v>9678.74</v>
      </c>
      <c r="C61">
        <v>12940.25</v>
      </c>
      <c r="D61">
        <v>13863.77</v>
      </c>
      <c r="E61">
        <v>14093.55</v>
      </c>
      <c r="F61">
        <v>14880.28</v>
      </c>
      <c r="G61">
        <v>14243.79</v>
      </c>
      <c r="H61">
        <v>16082.12</v>
      </c>
      <c r="I61">
        <v>17437.259999999998</v>
      </c>
      <c r="J61">
        <v>18392.080000000002</v>
      </c>
      <c r="K61">
        <v>19297.5</v>
      </c>
    </row>
    <row r="62" spans="1:11" x14ac:dyDescent="0.35">
      <c r="A62" s="4" t="s">
        <v>19</v>
      </c>
      <c r="B62">
        <v>5931.41</v>
      </c>
      <c r="C62">
        <v>8082.89</v>
      </c>
      <c r="D62">
        <v>8315</v>
      </c>
      <c r="E62">
        <v>8670.26</v>
      </c>
      <c r="F62">
        <v>9231.4</v>
      </c>
      <c r="G62">
        <v>8904.77</v>
      </c>
      <c r="H62">
        <v>9219.2999999999993</v>
      </c>
      <c r="I62">
        <v>9933.66</v>
      </c>
      <c r="J62">
        <v>10440.24</v>
      </c>
      <c r="K62">
        <v>10676.19</v>
      </c>
    </row>
    <row r="63" spans="1:11" x14ac:dyDescent="0.35">
      <c r="A63" s="4" t="s">
        <v>18</v>
      </c>
      <c r="B63">
        <v>43.66</v>
      </c>
      <c r="C63">
        <v>97.43</v>
      </c>
      <c r="D63">
        <v>83.88</v>
      </c>
      <c r="E63">
        <v>52.06</v>
      </c>
      <c r="F63">
        <v>57.04</v>
      </c>
      <c r="G63">
        <v>57.43</v>
      </c>
      <c r="H63">
        <v>116.44</v>
      </c>
      <c r="I63">
        <v>45.42</v>
      </c>
      <c r="J63">
        <v>83.36</v>
      </c>
      <c r="K63">
        <v>463.64</v>
      </c>
    </row>
    <row r="64" spans="1:11" x14ac:dyDescent="0.35">
      <c r="A64" s="4" t="s">
        <v>17</v>
      </c>
      <c r="B64">
        <v>189.5</v>
      </c>
      <c r="C64">
        <v>933.54</v>
      </c>
      <c r="D64">
        <v>997.28</v>
      </c>
      <c r="E64">
        <v>515.98</v>
      </c>
      <c r="F64">
        <v>671.98</v>
      </c>
      <c r="G64">
        <v>679.1</v>
      </c>
      <c r="H64">
        <v>1015.43</v>
      </c>
      <c r="I64">
        <v>3028.98</v>
      </c>
      <c r="J64">
        <v>3503.67</v>
      </c>
      <c r="K64">
        <v>3644.58</v>
      </c>
    </row>
    <row r="65" spans="1:11" x14ac:dyDescent="0.35">
      <c r="A65" s="4" t="s">
        <v>16</v>
      </c>
      <c r="B65">
        <v>3514.17</v>
      </c>
      <c r="C65">
        <v>3826.39</v>
      </c>
      <c r="D65">
        <v>4467.6099999999997</v>
      </c>
      <c r="E65">
        <v>4855.25</v>
      </c>
      <c r="F65">
        <v>4919.8599999999997</v>
      </c>
      <c r="G65">
        <v>4602.49</v>
      </c>
      <c r="H65">
        <v>5730.95</v>
      </c>
      <c r="I65">
        <v>4429.2</v>
      </c>
      <c r="J65">
        <v>4364.8100000000004</v>
      </c>
      <c r="K65">
        <v>4513.09</v>
      </c>
    </row>
    <row r="66" spans="1:11" s="3" customFormat="1" x14ac:dyDescent="0.35">
      <c r="A66" s="3" t="s">
        <v>15</v>
      </c>
      <c r="B66">
        <v>9678.74</v>
      </c>
      <c r="C66">
        <v>12940.25</v>
      </c>
      <c r="D66">
        <v>13863.77</v>
      </c>
      <c r="E66">
        <v>14093.55</v>
      </c>
      <c r="F66">
        <v>14880.28</v>
      </c>
      <c r="G66">
        <v>14243.79</v>
      </c>
      <c r="H66">
        <v>16082.12</v>
      </c>
      <c r="I66">
        <v>17437.259999999998</v>
      </c>
      <c r="J66">
        <v>18392.080000000002</v>
      </c>
      <c r="K66">
        <v>19297.5</v>
      </c>
    </row>
    <row r="67" spans="1:11" s="4" customFormat="1" x14ac:dyDescent="0.35">
      <c r="A67" s="4" t="s">
        <v>14</v>
      </c>
      <c r="B67">
        <v>1118.01</v>
      </c>
      <c r="C67">
        <v>1028.74</v>
      </c>
      <c r="D67">
        <v>1245.5</v>
      </c>
      <c r="E67">
        <v>1292.9000000000001</v>
      </c>
      <c r="F67">
        <v>1157.25</v>
      </c>
      <c r="G67">
        <v>1004.5</v>
      </c>
      <c r="H67">
        <v>1116.32</v>
      </c>
      <c r="I67">
        <v>1245.28</v>
      </c>
      <c r="J67">
        <v>1535.37</v>
      </c>
      <c r="K67">
        <v>1819.13</v>
      </c>
    </row>
    <row r="68" spans="1:11" x14ac:dyDescent="0.35">
      <c r="A68" s="4" t="s">
        <v>13</v>
      </c>
      <c r="B68">
        <v>1306.98</v>
      </c>
      <c r="C68">
        <v>1412.5</v>
      </c>
      <c r="D68">
        <v>1577.72</v>
      </c>
      <c r="E68">
        <v>1558.59</v>
      </c>
      <c r="F68">
        <v>1703.12</v>
      </c>
      <c r="G68">
        <v>1716.25</v>
      </c>
      <c r="H68">
        <v>2129.85</v>
      </c>
      <c r="I68">
        <v>1537.15</v>
      </c>
      <c r="J68">
        <v>1270.92</v>
      </c>
      <c r="K68">
        <v>1418.6</v>
      </c>
    </row>
    <row r="69" spans="1:11" x14ac:dyDescent="0.35">
      <c r="A69" s="1" t="s">
        <v>12</v>
      </c>
      <c r="B69">
        <v>753.79</v>
      </c>
      <c r="C69">
        <v>912.66</v>
      </c>
      <c r="D69">
        <v>960.21</v>
      </c>
      <c r="E69">
        <v>894.72</v>
      </c>
      <c r="F69">
        <v>770.16</v>
      </c>
      <c r="G69">
        <v>672.21</v>
      </c>
      <c r="H69">
        <v>1107.77</v>
      </c>
      <c r="I69">
        <v>390.72</v>
      </c>
      <c r="J69">
        <v>546.94000000000005</v>
      </c>
      <c r="K69">
        <v>483.06</v>
      </c>
    </row>
    <row r="70" spans="1:11" x14ac:dyDescent="0.35">
      <c r="A70" s="1" t="s">
        <v>11</v>
      </c>
      <c r="B70">
        <v>340533823</v>
      </c>
      <c r="C70">
        <v>340600816</v>
      </c>
      <c r="D70">
        <v>681329518</v>
      </c>
      <c r="E70">
        <v>1022166096</v>
      </c>
      <c r="F70">
        <v>1022316352</v>
      </c>
      <c r="G70">
        <v>1022486273</v>
      </c>
      <c r="H70">
        <v>1022581079</v>
      </c>
      <c r="I70">
        <v>1022695318</v>
      </c>
      <c r="J70">
        <v>1022820329</v>
      </c>
      <c r="K70">
        <v>1023007964</v>
      </c>
    </row>
    <row r="71" spans="1:11" x14ac:dyDescent="0.35">
      <c r="A71" s="1" t="s">
        <v>10</v>
      </c>
      <c r="D71">
        <v>340600816</v>
      </c>
      <c r="E71">
        <v>340722032</v>
      </c>
    </row>
    <row r="72" spans="1:11" x14ac:dyDescent="0.35">
      <c r="A72" s="1" t="s">
        <v>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3" t="s">
        <v>8</v>
      </c>
    </row>
    <row r="81" spans="1:11" s="5" customFormat="1" x14ac:dyDescent="0.35">
      <c r="A81" s="7" t="s">
        <v>7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s="3" customFormat="1" x14ac:dyDescent="0.35">
      <c r="A82" s="4" t="s">
        <v>6</v>
      </c>
      <c r="B82">
        <v>847.37</v>
      </c>
      <c r="C82">
        <v>1860.22</v>
      </c>
      <c r="D82">
        <v>1723.35</v>
      </c>
      <c r="E82">
        <v>1728.85</v>
      </c>
      <c r="F82">
        <v>1588.11</v>
      </c>
      <c r="G82">
        <v>2029.63</v>
      </c>
      <c r="H82">
        <v>1450.57</v>
      </c>
      <c r="I82">
        <v>2150.65</v>
      </c>
      <c r="J82">
        <v>2069.9499999999998</v>
      </c>
      <c r="K82">
        <v>2576.75</v>
      </c>
    </row>
    <row r="83" spans="1:11" s="4" customFormat="1" x14ac:dyDescent="0.35">
      <c r="A83" s="4" t="s">
        <v>5</v>
      </c>
      <c r="B83">
        <v>-621.59</v>
      </c>
      <c r="C83">
        <v>-2243.25</v>
      </c>
      <c r="D83">
        <v>-336.37</v>
      </c>
      <c r="E83">
        <v>274.07</v>
      </c>
      <c r="F83">
        <v>-552.12</v>
      </c>
      <c r="G83">
        <v>-292.14999999999998</v>
      </c>
      <c r="H83">
        <v>-844.32</v>
      </c>
      <c r="I83">
        <v>-1754.46</v>
      </c>
      <c r="J83">
        <v>-3435.01</v>
      </c>
      <c r="K83">
        <v>-343.12</v>
      </c>
    </row>
    <row r="84" spans="1:11" s="4" customFormat="1" x14ac:dyDescent="0.35">
      <c r="A84" s="4" t="s">
        <v>4</v>
      </c>
      <c r="B84">
        <v>-202.47</v>
      </c>
      <c r="C84">
        <v>664.65</v>
      </c>
      <c r="D84">
        <v>-1384.01</v>
      </c>
      <c r="E84">
        <v>-2038.73</v>
      </c>
      <c r="F84">
        <v>-1295.33</v>
      </c>
      <c r="G84">
        <v>-1816.22</v>
      </c>
      <c r="H84">
        <v>-379.52</v>
      </c>
      <c r="I84">
        <v>-794.31</v>
      </c>
      <c r="J84">
        <v>1406.34</v>
      </c>
      <c r="K84">
        <v>-2181.4899999999998</v>
      </c>
    </row>
    <row r="85" spans="1:11" s="3" customFormat="1" x14ac:dyDescent="0.35">
      <c r="A85" s="4" t="s">
        <v>3</v>
      </c>
      <c r="B85">
        <v>23.31</v>
      </c>
      <c r="C85">
        <v>281.62</v>
      </c>
      <c r="D85">
        <v>2.97</v>
      </c>
      <c r="E85">
        <v>-35.81</v>
      </c>
      <c r="F85">
        <v>-259.33999999999997</v>
      </c>
      <c r="G85">
        <v>-78.739999999999995</v>
      </c>
      <c r="H85">
        <v>226.73</v>
      </c>
      <c r="I85">
        <v>-398.12</v>
      </c>
      <c r="J85">
        <v>41.28</v>
      </c>
      <c r="K85">
        <v>52.14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3" customFormat="1" x14ac:dyDescent="0.35">
      <c r="A90" s="3" t="s">
        <v>2</v>
      </c>
      <c r="B90">
        <v>460.27</v>
      </c>
      <c r="C90">
        <v>557.14</v>
      </c>
      <c r="D90">
        <v>729.1</v>
      </c>
      <c r="E90">
        <v>686</v>
      </c>
      <c r="F90">
        <v>520.85</v>
      </c>
      <c r="G90">
        <v>729.65</v>
      </c>
      <c r="H90">
        <v>747.3</v>
      </c>
      <c r="I90">
        <v>968.15</v>
      </c>
      <c r="J90">
        <v>1251.8</v>
      </c>
      <c r="K90">
        <v>1159.25</v>
      </c>
    </row>
    <row r="92" spans="1:11" s="3" customFormat="1" x14ac:dyDescent="0.35">
      <c r="A92" s="3" t="s">
        <v>1</v>
      </c>
    </row>
    <row r="93" spans="1:11" x14ac:dyDescent="0.35">
      <c r="A93" s="1" t="s">
        <v>0</v>
      </c>
      <c r="B93" s="2">
        <v>102.16</v>
      </c>
      <c r="C93" s="2">
        <v>102.18</v>
      </c>
      <c r="D93" s="2">
        <v>102.2</v>
      </c>
      <c r="E93" s="2">
        <v>102.22</v>
      </c>
      <c r="F93" s="2">
        <v>102.23</v>
      </c>
      <c r="G93" s="2">
        <v>102.25</v>
      </c>
      <c r="H93" s="2">
        <v>102.26</v>
      </c>
      <c r="I93" s="2">
        <v>102.27</v>
      </c>
      <c r="J93" s="2">
        <v>102.28</v>
      </c>
      <c r="K93" s="2">
        <v>102.3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22D9351-F34A-4FBB-98F8-FF183C6FEA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53D5-7303-4A4A-A1A3-7DD6D250A413}">
  <dimension ref="B3:P36"/>
  <sheetViews>
    <sheetView workbookViewId="0">
      <selection activeCell="R8" sqref="R8"/>
    </sheetView>
  </sheetViews>
  <sheetFormatPr defaultRowHeight="14.5" x14ac:dyDescent="0.35"/>
  <cols>
    <col min="2" max="2" width="26" bestFit="1" customWidth="1"/>
  </cols>
  <sheetData>
    <row r="3" spans="2:16" x14ac:dyDescent="0.35">
      <c r="C3" s="10">
        <v>41699</v>
      </c>
      <c r="D3" s="10">
        <v>42064</v>
      </c>
      <c r="E3" s="10">
        <v>42430</v>
      </c>
      <c r="F3" s="10">
        <v>42795</v>
      </c>
      <c r="G3" s="10">
        <v>43160</v>
      </c>
      <c r="H3" s="10">
        <v>43525</v>
      </c>
      <c r="I3" s="10">
        <v>43891</v>
      </c>
      <c r="J3" s="10">
        <v>44256</v>
      </c>
      <c r="K3" s="10">
        <v>44621</v>
      </c>
      <c r="L3" s="10">
        <v>44986</v>
      </c>
      <c r="M3" s="10">
        <v>45352</v>
      </c>
      <c r="N3" s="10">
        <v>45717</v>
      </c>
    </row>
    <row r="4" spans="2:16" x14ac:dyDescent="0.35">
      <c r="B4" s="9" t="s">
        <v>54</v>
      </c>
      <c r="C4" s="8">
        <v>1116</v>
      </c>
      <c r="D4" s="8">
        <v>1027</v>
      </c>
      <c r="E4">
        <v>847</v>
      </c>
      <c r="F4" s="8">
        <v>1860</v>
      </c>
      <c r="G4" s="8">
        <v>1723</v>
      </c>
      <c r="H4" s="8">
        <v>1729</v>
      </c>
      <c r="I4" s="8">
        <v>1588</v>
      </c>
      <c r="J4" s="8">
        <v>2030</v>
      </c>
      <c r="K4" s="8">
        <v>1451</v>
      </c>
      <c r="L4" s="8">
        <v>2151</v>
      </c>
      <c r="M4" s="8">
        <v>2070</v>
      </c>
      <c r="N4" s="8">
        <v>2577</v>
      </c>
    </row>
    <row r="5" spans="2:16" x14ac:dyDescent="0.35">
      <c r="B5" t="s">
        <v>55</v>
      </c>
      <c r="C5" s="8">
        <v>1168</v>
      </c>
      <c r="D5" s="8">
        <v>1397</v>
      </c>
      <c r="E5" s="8">
        <v>1669</v>
      </c>
      <c r="F5" s="8">
        <v>1947</v>
      </c>
      <c r="G5" s="8">
        <v>2147</v>
      </c>
      <c r="H5" s="8">
        <v>2181</v>
      </c>
      <c r="I5" s="8">
        <v>2185</v>
      </c>
      <c r="J5" s="8">
        <v>2472</v>
      </c>
      <c r="K5" s="8">
        <v>2434</v>
      </c>
      <c r="L5" s="8">
        <v>2476</v>
      </c>
      <c r="M5" s="8">
        <v>2900</v>
      </c>
      <c r="N5" s="8">
        <v>3012</v>
      </c>
      <c r="P5" s="8"/>
    </row>
    <row r="6" spans="2:16" x14ac:dyDescent="0.35">
      <c r="B6" t="s">
        <v>14</v>
      </c>
      <c r="C6">
        <v>13</v>
      </c>
      <c r="D6">
        <v>-81</v>
      </c>
      <c r="E6">
        <v>-323</v>
      </c>
      <c r="F6">
        <v>166</v>
      </c>
      <c r="G6">
        <v>-245</v>
      </c>
      <c r="H6">
        <v>-174</v>
      </c>
      <c r="I6">
        <v>130</v>
      </c>
      <c r="J6">
        <v>81</v>
      </c>
      <c r="K6">
        <v>-89</v>
      </c>
      <c r="L6">
        <v>-165</v>
      </c>
      <c r="M6">
        <v>-479</v>
      </c>
      <c r="N6">
        <v>-305</v>
      </c>
      <c r="P6" s="8"/>
    </row>
    <row r="7" spans="2:16" x14ac:dyDescent="0.35">
      <c r="B7" t="s">
        <v>13</v>
      </c>
      <c r="C7">
        <v>-35</v>
      </c>
      <c r="D7">
        <v>26</v>
      </c>
      <c r="E7">
        <v>-235</v>
      </c>
      <c r="F7">
        <v>46</v>
      </c>
      <c r="G7">
        <v>-165</v>
      </c>
      <c r="H7">
        <v>-20</v>
      </c>
      <c r="I7">
        <v>-169</v>
      </c>
      <c r="J7">
        <v>-70</v>
      </c>
      <c r="K7">
        <v>-384</v>
      </c>
      <c r="L7">
        <v>555</v>
      </c>
      <c r="M7">
        <v>-71</v>
      </c>
      <c r="N7">
        <v>-159</v>
      </c>
    </row>
    <row r="8" spans="2:16" x14ac:dyDescent="0.35">
      <c r="B8" t="s">
        <v>56</v>
      </c>
      <c r="C8">
        <v>0</v>
      </c>
      <c r="D8">
        <v>0</v>
      </c>
      <c r="E8">
        <v>17</v>
      </c>
      <c r="F8">
        <v>196</v>
      </c>
      <c r="G8">
        <v>613</v>
      </c>
      <c r="H8">
        <v>274</v>
      </c>
      <c r="I8">
        <v>-95</v>
      </c>
      <c r="J8">
        <v>-473</v>
      </c>
      <c r="K8">
        <v>83</v>
      </c>
      <c r="L8">
        <v>-370</v>
      </c>
      <c r="M8">
        <v>91</v>
      </c>
      <c r="N8">
        <v>514</v>
      </c>
      <c r="P8" s="8"/>
    </row>
    <row r="9" spans="2:16" x14ac:dyDescent="0.35">
      <c r="B9" t="s">
        <v>57</v>
      </c>
      <c r="C9">
        <v>-15</v>
      </c>
      <c r="D9">
        <v>8</v>
      </c>
      <c r="E9">
        <v>1</v>
      </c>
      <c r="F9">
        <v>-3</v>
      </c>
      <c r="G9">
        <v>1</v>
      </c>
      <c r="H9">
        <v>-1</v>
      </c>
      <c r="I9">
        <v>-3</v>
      </c>
      <c r="J9">
        <v>1</v>
      </c>
      <c r="K9">
        <v>0</v>
      </c>
      <c r="L9">
        <v>0</v>
      </c>
      <c r="M9">
        <v>0</v>
      </c>
      <c r="N9">
        <v>0</v>
      </c>
    </row>
    <row r="10" spans="2:16" x14ac:dyDescent="0.35">
      <c r="B10" t="s">
        <v>58</v>
      </c>
      <c r="C10">
        <v>224</v>
      </c>
      <c r="D10">
        <v>-39</v>
      </c>
      <c r="E10">
        <v>75</v>
      </c>
      <c r="F10">
        <v>-65</v>
      </c>
      <c r="G10">
        <v>-219</v>
      </c>
      <c r="H10">
        <v>-79</v>
      </c>
      <c r="I10">
        <v>-116</v>
      </c>
      <c r="J10">
        <v>416</v>
      </c>
      <c r="K10">
        <v>-146</v>
      </c>
      <c r="L10">
        <v>74</v>
      </c>
      <c r="M10">
        <v>3</v>
      </c>
      <c r="N10">
        <v>-15</v>
      </c>
    </row>
    <row r="11" spans="2:16" x14ac:dyDescent="0.35">
      <c r="B11" s="31" t="s">
        <v>59</v>
      </c>
      <c r="C11" s="31">
        <v>186</v>
      </c>
      <c r="D11" s="31">
        <v>-87</v>
      </c>
      <c r="E11" s="31">
        <v>465</v>
      </c>
      <c r="F11" s="31">
        <v>341</v>
      </c>
      <c r="G11" s="31">
        <v>-16</v>
      </c>
      <c r="H11" s="31">
        <v>1</v>
      </c>
      <c r="I11" s="31">
        <v>-253</v>
      </c>
      <c r="J11" s="31">
        <v>-45</v>
      </c>
      <c r="K11" s="31">
        <v>-536</v>
      </c>
      <c r="L11" s="31">
        <v>93</v>
      </c>
      <c r="M11" s="31">
        <v>-456</v>
      </c>
      <c r="N11" s="31">
        <v>35</v>
      </c>
      <c r="O11" s="11"/>
    </row>
    <row r="12" spans="2:16" x14ac:dyDescent="0.35">
      <c r="B12" t="s">
        <v>60</v>
      </c>
      <c r="C12">
        <v>-238</v>
      </c>
      <c r="D12">
        <v>-257</v>
      </c>
      <c r="E12">
        <v>-336</v>
      </c>
      <c r="F12">
        <v>-407</v>
      </c>
      <c r="G12">
        <v>-393</v>
      </c>
      <c r="H12">
        <v>-435</v>
      </c>
      <c r="I12">
        <v>-344</v>
      </c>
      <c r="J12">
        <v>-397</v>
      </c>
      <c r="K12">
        <v>-448</v>
      </c>
      <c r="L12">
        <v>-418</v>
      </c>
      <c r="M12">
        <v>-374</v>
      </c>
      <c r="N12">
        <v>-470</v>
      </c>
    </row>
    <row r="13" spans="2:16" x14ac:dyDescent="0.35">
      <c r="B13" t="s">
        <v>61</v>
      </c>
      <c r="C13">
        <v>0</v>
      </c>
      <c r="D13">
        <v>0</v>
      </c>
      <c r="E13">
        <v>0</v>
      </c>
      <c r="F13">
        <v>-20</v>
      </c>
      <c r="G13">
        <v>-15</v>
      </c>
      <c r="H13">
        <v>-18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2:16" x14ac:dyDescent="0.35">
      <c r="B14" t="s">
        <v>62</v>
      </c>
      <c r="C14">
        <v>-1</v>
      </c>
      <c r="D14">
        <v>-26</v>
      </c>
      <c r="E14">
        <v>-21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2:16" x14ac:dyDescent="0.35">
      <c r="B15" s="9" t="s">
        <v>63</v>
      </c>
      <c r="C15">
        <v>-494</v>
      </c>
      <c r="D15" s="8">
        <v>-1236</v>
      </c>
      <c r="E15">
        <v>-622</v>
      </c>
      <c r="F15" s="8">
        <v>-2243</v>
      </c>
      <c r="G15">
        <v>-336</v>
      </c>
      <c r="H15">
        <v>274</v>
      </c>
      <c r="I15">
        <v>-552</v>
      </c>
      <c r="J15">
        <v>-292</v>
      </c>
      <c r="K15">
        <v>-844</v>
      </c>
      <c r="L15" s="8">
        <v>-1754</v>
      </c>
      <c r="M15" s="8">
        <v>-3435</v>
      </c>
      <c r="N15">
        <v>-343</v>
      </c>
    </row>
    <row r="16" spans="2:16" x14ac:dyDescent="0.35">
      <c r="B16" t="s">
        <v>64</v>
      </c>
      <c r="C16">
        <v>-133</v>
      </c>
      <c r="D16">
        <v>-213</v>
      </c>
      <c r="E16">
        <v>-208</v>
      </c>
      <c r="F16">
        <v>-180</v>
      </c>
      <c r="G16">
        <v>-311</v>
      </c>
      <c r="H16">
        <v>-208</v>
      </c>
      <c r="I16">
        <v>-152</v>
      </c>
      <c r="J16">
        <v>-164</v>
      </c>
      <c r="K16">
        <v>0</v>
      </c>
      <c r="L16">
        <v>0</v>
      </c>
      <c r="M16">
        <v>0</v>
      </c>
      <c r="N16">
        <v>-599</v>
      </c>
    </row>
    <row r="17" spans="2:14" x14ac:dyDescent="0.35">
      <c r="B17" t="s">
        <v>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8</v>
      </c>
      <c r="M17">
        <v>31</v>
      </c>
      <c r="N17">
        <v>40</v>
      </c>
    </row>
    <row r="18" spans="2:14" x14ac:dyDescent="0.35">
      <c r="B18" t="s">
        <v>66</v>
      </c>
      <c r="C18">
        <v>0</v>
      </c>
      <c r="D18">
        <v>-40</v>
      </c>
      <c r="E18">
        <v>0</v>
      </c>
      <c r="F18">
        <v>-574</v>
      </c>
      <c r="G18">
        <v>-309</v>
      </c>
      <c r="H18">
        <v>0</v>
      </c>
      <c r="I18">
        <v>0</v>
      </c>
      <c r="J18">
        <v>-139</v>
      </c>
      <c r="K18">
        <v>-452</v>
      </c>
      <c r="L18">
        <v>-227</v>
      </c>
      <c r="M18">
        <v>-307</v>
      </c>
      <c r="N18">
        <v>-67</v>
      </c>
    </row>
    <row r="19" spans="2:14" x14ac:dyDescent="0.35">
      <c r="B19" t="s">
        <v>67</v>
      </c>
      <c r="C19">
        <v>32</v>
      </c>
      <c r="D19">
        <v>0</v>
      </c>
      <c r="E19">
        <v>92</v>
      </c>
      <c r="F19">
        <v>0</v>
      </c>
      <c r="G19">
        <v>349</v>
      </c>
      <c r="H19">
        <v>195</v>
      </c>
      <c r="I19">
        <v>270</v>
      </c>
      <c r="J19">
        <v>35</v>
      </c>
      <c r="K19">
        <v>0</v>
      </c>
      <c r="L19">
        <v>0</v>
      </c>
      <c r="M19">
        <v>0</v>
      </c>
      <c r="N19">
        <v>114</v>
      </c>
    </row>
    <row r="20" spans="2:14" x14ac:dyDescent="0.35">
      <c r="B20" t="s">
        <v>68</v>
      </c>
      <c r="C20">
        <v>34</v>
      </c>
      <c r="D20">
        <v>31</v>
      </c>
      <c r="E20">
        <v>43</v>
      </c>
      <c r="F20">
        <v>41</v>
      </c>
      <c r="G20">
        <v>66</v>
      </c>
      <c r="H20">
        <v>92</v>
      </c>
      <c r="I20">
        <v>57</v>
      </c>
      <c r="J20">
        <v>59</v>
      </c>
      <c r="K20">
        <v>59</v>
      </c>
      <c r="L20">
        <v>111</v>
      </c>
      <c r="M20">
        <v>231</v>
      </c>
      <c r="N20">
        <v>168</v>
      </c>
    </row>
    <row r="21" spans="2:14" x14ac:dyDescent="0.35">
      <c r="B21" t="s">
        <v>69</v>
      </c>
      <c r="C21">
        <v>-482</v>
      </c>
      <c r="D21">
        <v>-630</v>
      </c>
      <c r="E21">
        <v>-647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5">
      <c r="B22" t="s">
        <v>70</v>
      </c>
      <c r="C22">
        <v>-34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5">
      <c r="B23" t="s">
        <v>71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372</v>
      </c>
      <c r="N23">
        <v>0</v>
      </c>
    </row>
    <row r="24" spans="2:14" x14ac:dyDescent="0.35">
      <c r="B24" t="s">
        <v>72</v>
      </c>
      <c r="C24">
        <v>0</v>
      </c>
      <c r="D24">
        <v>0</v>
      </c>
      <c r="E24">
        <v>0</v>
      </c>
      <c r="F24" s="8">
        <v>-1431</v>
      </c>
      <c r="G24">
        <v>0</v>
      </c>
      <c r="H24">
        <v>0</v>
      </c>
      <c r="I24">
        <v>0</v>
      </c>
      <c r="J24">
        <v>0</v>
      </c>
      <c r="K24">
        <v>-387</v>
      </c>
      <c r="L24">
        <v>-988</v>
      </c>
      <c r="M24">
        <v>0</v>
      </c>
      <c r="N24">
        <v>0</v>
      </c>
    </row>
    <row r="25" spans="2:14" x14ac:dyDescent="0.35">
      <c r="B25" t="s">
        <v>73</v>
      </c>
      <c r="C25">
        <v>90</v>
      </c>
      <c r="D25">
        <v>-385</v>
      </c>
      <c r="E25">
        <v>99</v>
      </c>
      <c r="F25">
        <v>-99</v>
      </c>
      <c r="G25">
        <v>-131</v>
      </c>
      <c r="H25">
        <v>195</v>
      </c>
      <c r="I25">
        <v>-727</v>
      </c>
      <c r="J25">
        <v>-84</v>
      </c>
      <c r="K25">
        <v>-67</v>
      </c>
      <c r="L25">
        <v>-658</v>
      </c>
      <c r="M25" s="8">
        <v>-3762</v>
      </c>
      <c r="N25">
        <v>0</v>
      </c>
    </row>
    <row r="26" spans="2:14" x14ac:dyDescent="0.35">
      <c r="B26" s="9" t="s">
        <v>74</v>
      </c>
      <c r="C26">
        <v>-620</v>
      </c>
      <c r="D26">
        <v>-12</v>
      </c>
      <c r="E26">
        <v>-202</v>
      </c>
      <c r="F26">
        <v>665</v>
      </c>
      <c r="G26" s="8">
        <v>-1384</v>
      </c>
      <c r="H26" s="8">
        <v>-2039</v>
      </c>
      <c r="I26" s="8">
        <v>-1295</v>
      </c>
      <c r="J26" s="8">
        <v>-1816</v>
      </c>
      <c r="K26">
        <v>-380</v>
      </c>
      <c r="L26">
        <v>-794</v>
      </c>
      <c r="M26" s="8">
        <v>1406</v>
      </c>
      <c r="N26" s="8">
        <v>-2181</v>
      </c>
    </row>
    <row r="27" spans="2:14" x14ac:dyDescent="0.3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5">
      <c r="B28" t="s">
        <v>76</v>
      </c>
      <c r="C28">
        <v>-50</v>
      </c>
      <c r="D28">
        <v>-50</v>
      </c>
      <c r="E28">
        <v>-278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5">
      <c r="B29" t="s">
        <v>77</v>
      </c>
      <c r="C29">
        <v>0</v>
      </c>
      <c r="D29">
        <v>368</v>
      </c>
      <c r="E29">
        <v>0</v>
      </c>
      <c r="F29">
        <v>0</v>
      </c>
      <c r="G29">
        <v>0</v>
      </c>
      <c r="H29">
        <v>0</v>
      </c>
      <c r="I29">
        <v>247</v>
      </c>
      <c r="J29">
        <v>737</v>
      </c>
      <c r="K29">
        <v>535</v>
      </c>
      <c r="L29">
        <v>0</v>
      </c>
      <c r="M29" s="8">
        <v>2681</v>
      </c>
      <c r="N29">
        <v>732</v>
      </c>
    </row>
    <row r="30" spans="2:14" x14ac:dyDescent="0.35">
      <c r="B30" t="s">
        <v>78</v>
      </c>
      <c r="C30">
        <v>-271</v>
      </c>
      <c r="D30">
        <v>0</v>
      </c>
      <c r="E30">
        <v>0</v>
      </c>
      <c r="F30">
        <v>0</v>
      </c>
      <c r="G30">
        <v>0</v>
      </c>
      <c r="H30">
        <v>-345</v>
      </c>
      <c r="I30">
        <v>-375</v>
      </c>
      <c r="J30" s="8">
        <v>-2357</v>
      </c>
      <c r="K30">
        <v>-755</v>
      </c>
      <c r="L30">
        <v>-634</v>
      </c>
      <c r="M30">
        <v>-416</v>
      </c>
      <c r="N30">
        <v>0</v>
      </c>
    </row>
    <row r="31" spans="2:14" x14ac:dyDescent="0.35">
      <c r="B31" t="s">
        <v>79</v>
      </c>
      <c r="C31">
        <v>-100</v>
      </c>
      <c r="D31">
        <v>-119</v>
      </c>
      <c r="E31">
        <v>-119</v>
      </c>
      <c r="F31">
        <v>-124</v>
      </c>
      <c r="G31">
        <v>-158</v>
      </c>
      <c r="H31">
        <v>-215</v>
      </c>
      <c r="I31">
        <v>-156</v>
      </c>
      <c r="J31">
        <v>-166</v>
      </c>
      <c r="K31">
        <v>-119</v>
      </c>
      <c r="L31">
        <v>-119</v>
      </c>
      <c r="M31">
        <v>-267</v>
      </c>
      <c r="N31">
        <v>-319</v>
      </c>
    </row>
    <row r="32" spans="2:14" x14ac:dyDescent="0.35">
      <c r="B32" t="s">
        <v>80</v>
      </c>
      <c r="C32">
        <v>-170</v>
      </c>
      <c r="D32">
        <v>-179</v>
      </c>
      <c r="E32">
        <v>-187</v>
      </c>
      <c r="F32">
        <v>-196</v>
      </c>
      <c r="G32">
        <v>-613</v>
      </c>
      <c r="H32" s="8">
        <v>-1227</v>
      </c>
      <c r="I32">
        <v>-818</v>
      </c>
      <c r="J32">
        <v>0</v>
      </c>
      <c r="K32">
        <v>0</v>
      </c>
      <c r="L32">
        <v>0</v>
      </c>
      <c r="M32">
        <v>-511</v>
      </c>
      <c r="N32" s="8">
        <v>-2557</v>
      </c>
    </row>
    <row r="33" spans="2:14" x14ac:dyDescent="0.35">
      <c r="B33" t="s">
        <v>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-25</v>
      </c>
      <c r="J33">
        <v>-31</v>
      </c>
      <c r="K33">
        <v>-41</v>
      </c>
      <c r="L33">
        <v>-41</v>
      </c>
      <c r="M33">
        <v>-80</v>
      </c>
      <c r="N33">
        <v>-42</v>
      </c>
    </row>
    <row r="34" spans="2:14" x14ac:dyDescent="0.35">
      <c r="B34" t="s">
        <v>82</v>
      </c>
      <c r="C34">
        <v>-29</v>
      </c>
      <c r="D34">
        <v>-32</v>
      </c>
      <c r="E34">
        <v>381</v>
      </c>
      <c r="F34">
        <v>984</v>
      </c>
      <c r="G34">
        <v>-613</v>
      </c>
      <c r="H34">
        <v>-253</v>
      </c>
      <c r="I34">
        <v>-168</v>
      </c>
      <c r="J34">
        <v>0</v>
      </c>
      <c r="K34">
        <v>0</v>
      </c>
      <c r="L34">
        <v>0</v>
      </c>
      <c r="M34">
        <v>0</v>
      </c>
      <c r="N34">
        <v>5</v>
      </c>
    </row>
    <row r="36" spans="2:14" x14ac:dyDescent="0.35">
      <c r="B36" s="11" t="s">
        <v>3</v>
      </c>
      <c r="C36" s="11">
        <v>1</v>
      </c>
      <c r="D36" s="11">
        <v>-221</v>
      </c>
      <c r="E36" s="11">
        <v>23</v>
      </c>
      <c r="F36" s="11">
        <v>282</v>
      </c>
      <c r="G36" s="11">
        <v>3</v>
      </c>
      <c r="H36" s="11">
        <v>-36</v>
      </c>
      <c r="I36" s="11">
        <v>-259</v>
      </c>
      <c r="J36" s="11">
        <v>-79</v>
      </c>
      <c r="K36" s="11">
        <v>227</v>
      </c>
      <c r="L36" s="11">
        <v>-398</v>
      </c>
      <c r="M36" s="11">
        <v>41</v>
      </c>
      <c r="N36" s="1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Financials</vt:lpstr>
      <vt:lpstr>Historical_FS</vt:lpstr>
      <vt:lpstr>Ration Analysis</vt:lpstr>
      <vt:lpstr>Data&gt;</vt:lpstr>
      <vt:lpstr>Data Sheet</vt:lpstr>
      <vt:lpstr>cashflow data set 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K Hegde</dc:creator>
  <cp:lastModifiedBy>Chaitra K Hegde</cp:lastModifiedBy>
  <cp:lastPrinted>2026-03-24T06:11:10Z</cp:lastPrinted>
  <dcterms:created xsi:type="dcterms:W3CDTF">2015-06-05T18:17:20Z</dcterms:created>
  <dcterms:modified xsi:type="dcterms:W3CDTF">2026-03-26T10:02:06Z</dcterms:modified>
</cp:coreProperties>
</file>